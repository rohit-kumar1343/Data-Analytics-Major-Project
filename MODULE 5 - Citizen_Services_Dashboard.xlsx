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87c18a6e99611f/Documents/MCA/1ST SEM/IIOT/PROJECT/"/>
    </mc:Choice>
  </mc:AlternateContent>
  <xr:revisionPtr revIDLastSave="167" documentId="13_ncr:1_{98B93D64-D49C-4FD7-B611-57D4309C1484}" xr6:coauthVersionLast="47" xr6:coauthVersionMax="47" xr10:uidLastSave="{CBE2428E-6AAB-419D-B519-F5950876851A}"/>
  <bookViews>
    <workbookView xWindow="-110" yWindow="-110" windowWidth="19420" windowHeight="12220" tabRatio="709" activeTab="1" xr2:uid="{00000000-000D-0000-FFFF-FFFF00000000}"/>
  </bookViews>
  <sheets>
    <sheet name="Raw_Data" sheetId="1" r:id="rId1"/>
    <sheet name="Dashboard" sheetId="3" r:id="rId2"/>
    <sheet name="Sheet1" sheetId="4" r:id="rId3"/>
    <sheet name="Sheet2" sheetId="5" r:id="rId4"/>
    <sheet name="Sheet3" sheetId="6" r:id="rId5"/>
    <sheet name="Sheet4" sheetId="7" r:id="rId6"/>
    <sheet name="Sheet5" sheetId="8" r:id="rId7"/>
    <sheet name="Sheet6" sheetId="10" r:id="rId8"/>
    <sheet name="ChartData" sheetId="2" state="hidden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3" l="1"/>
  <c r="K204" i="1"/>
  <c r="K205" i="1"/>
  <c r="K206" i="1"/>
  <c r="K203" i="1"/>
  <c r="K5" i="3"/>
  <c r="J203" i="1" a="1"/>
  <c r="H5" i="3"/>
  <c r="I206" i="1"/>
  <c r="G203" i="1" a="1"/>
  <c r="H203" i="1" s="1"/>
  <c r="H204" i="1"/>
  <c r="H205" i="1"/>
  <c r="H206" i="1"/>
  <c r="H207" i="1"/>
  <c r="E5" i="3"/>
  <c r="B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<sst xmlns="http://schemas.openxmlformats.org/spreadsheetml/2006/main" count="1525" uniqueCount="286">
  <si>
    <t>Timestamp</t>
  </si>
  <si>
    <t>Location</t>
  </si>
  <si>
    <t>Request_ID</t>
  </si>
  <si>
    <t>Service_Category</t>
  </si>
  <si>
    <t>Status</t>
  </si>
  <si>
    <t>Priority</t>
  </si>
  <si>
    <t>Assigned_Department</t>
  </si>
  <si>
    <t>Feedback_Score</t>
  </si>
  <si>
    <t>Application_Channel</t>
  </si>
  <si>
    <t>DND Flyway</t>
  </si>
  <si>
    <t>India Gate Circle</t>
  </si>
  <si>
    <t>NH8 (near Airport)</t>
  </si>
  <si>
    <t>Chandni Chowk</t>
  </si>
  <si>
    <t>AIIMS Crossing</t>
  </si>
  <si>
    <t>Connaught Place</t>
  </si>
  <si>
    <t>Rajiv Chowk Metro Area</t>
  </si>
  <si>
    <t>Outer Ring Road (IIT Delhi)</t>
  </si>
  <si>
    <t>DL-CS-477812</t>
  </si>
  <si>
    <t>DL-CS-368246</t>
  </si>
  <si>
    <t>DL-CS-805696</t>
  </si>
  <si>
    <t>DL-CS-218015</t>
  </si>
  <si>
    <t>DL-CS-840674</t>
  </si>
  <si>
    <t>DL-CS-354079</t>
  </si>
  <si>
    <t>DL-CS-650929</t>
  </si>
  <si>
    <t>DL-CS-789944</t>
  </si>
  <si>
    <t>DL-CS-788105</t>
  </si>
  <si>
    <t>DL-CS-613758</t>
  </si>
  <si>
    <t>DL-CS-465890</t>
  </si>
  <si>
    <t>DL-CS-545101</t>
  </si>
  <si>
    <t>DL-CS-136631</t>
  </si>
  <si>
    <t>DL-CS-866577</t>
  </si>
  <si>
    <t>DL-CS-172991</t>
  </si>
  <si>
    <t>DL-CS-104014</t>
  </si>
  <si>
    <t>DL-CS-373237</t>
  </si>
  <si>
    <t>DL-CS-118070</t>
  </si>
  <si>
    <t>DL-CS-922209</t>
  </si>
  <si>
    <t>DL-CS-156958</t>
  </si>
  <si>
    <t>DL-CS-182074</t>
  </si>
  <si>
    <t>DL-CS-635017</t>
  </si>
  <si>
    <t>DL-CS-855073</t>
  </si>
  <si>
    <t>DL-CS-276089</t>
  </si>
  <si>
    <t>DL-CS-297392</t>
  </si>
  <si>
    <t>DL-CS-258823</t>
  </si>
  <si>
    <t>DL-CS-730152</t>
  </si>
  <si>
    <t>DL-CS-493002</t>
  </si>
  <si>
    <t>DL-CS-833429</t>
  </si>
  <si>
    <t>DL-CS-598863</t>
  </si>
  <si>
    <t>DL-CS-467654</t>
  </si>
  <si>
    <t>DL-CS-679036</t>
  </si>
  <si>
    <t>DL-CS-630089</t>
  </si>
  <si>
    <t>DL-CS-250262</t>
  </si>
  <si>
    <t>DL-CS-542905</t>
  </si>
  <si>
    <t>DL-CS-335362</t>
  </si>
  <si>
    <t>DL-CS-544209</t>
  </si>
  <si>
    <t>DL-CS-653880</t>
  </si>
  <si>
    <t>DL-CS-897079</t>
  </si>
  <si>
    <t>DL-CS-764076</t>
  </si>
  <si>
    <t>DL-CS-319963</t>
  </si>
  <si>
    <t>DL-CS-580761</t>
  </si>
  <si>
    <t>DL-CS-348710</t>
  </si>
  <si>
    <t>DL-CS-320984</t>
  </si>
  <si>
    <t>DL-CS-997059</t>
  </si>
  <si>
    <t>DL-CS-956748</t>
  </si>
  <si>
    <t>DL-CS-882355</t>
  </si>
  <si>
    <t>DL-CS-364512</t>
  </si>
  <si>
    <t>DL-CS-701863</t>
  </si>
  <si>
    <t>DL-CS-368799</t>
  </si>
  <si>
    <t>DL-CS-337549</t>
  </si>
  <si>
    <t>DL-CS-694319</t>
  </si>
  <si>
    <t>DL-CS-584299</t>
  </si>
  <si>
    <t>DL-CS-712210</t>
  </si>
  <si>
    <t>DL-CS-548982</t>
  </si>
  <si>
    <t>DL-CS-224046</t>
  </si>
  <si>
    <t>DL-CS-506619</t>
  </si>
  <si>
    <t>DL-CS-132097</t>
  </si>
  <si>
    <t>DL-CS-766326</t>
  </si>
  <si>
    <t>DL-CS-749150</t>
  </si>
  <si>
    <t>DL-CS-330229</t>
  </si>
  <si>
    <t>DL-CS-218834</t>
  </si>
  <si>
    <t>DL-CS-193848</t>
  </si>
  <si>
    <t>DL-CS-152921</t>
  </si>
  <si>
    <t>DL-CS-805086</t>
  </si>
  <si>
    <t>DL-CS-750429</t>
  </si>
  <si>
    <t>DL-CS-805660</t>
  </si>
  <si>
    <t>DL-CS-384821</t>
  </si>
  <si>
    <t>DL-CS-155609</t>
  </si>
  <si>
    <t>DL-CS-327897</t>
  </si>
  <si>
    <t>DL-CS-131024</t>
  </si>
  <si>
    <t>DL-CS-170313</t>
  </si>
  <si>
    <t>DL-CS-489957</t>
  </si>
  <si>
    <t>DL-CS-284078</t>
  </si>
  <si>
    <t>DL-CS-457429</t>
  </si>
  <si>
    <t>DL-CS-561243</t>
  </si>
  <si>
    <t>DL-CS-213632</t>
  </si>
  <si>
    <t>DL-CS-351451</t>
  </si>
  <si>
    <t>DL-CS-103051</t>
  </si>
  <si>
    <t>DL-CS-804107</t>
  </si>
  <si>
    <t>DL-CS-476836</t>
  </si>
  <si>
    <t>DL-CS-711523</t>
  </si>
  <si>
    <t>DL-CS-821772</t>
  </si>
  <si>
    <t>DL-CS-289407</t>
  </si>
  <si>
    <t>DL-CS-549395</t>
  </si>
  <si>
    <t>DL-CS-562894</t>
  </si>
  <si>
    <t>DL-CS-311810</t>
  </si>
  <si>
    <t>DL-CS-827975</t>
  </si>
  <si>
    <t>DL-CS-173523</t>
  </si>
  <si>
    <t>DL-CS-860463</t>
  </si>
  <si>
    <t>DL-CS-194476</t>
  </si>
  <si>
    <t>DL-CS-333841</t>
  </si>
  <si>
    <t>DL-CS-903451</t>
  </si>
  <si>
    <t>DL-CS-970045</t>
  </si>
  <si>
    <t>DL-CS-322866</t>
  </si>
  <si>
    <t>DL-CS-186672</t>
  </si>
  <si>
    <t>DL-CS-698135</t>
  </si>
  <si>
    <t>DL-CS-444894</t>
  </si>
  <si>
    <t>DL-CS-834994</t>
  </si>
  <si>
    <t>DL-CS-128251</t>
  </si>
  <si>
    <t>DL-CS-727769</t>
  </si>
  <si>
    <t>DL-CS-474710</t>
  </si>
  <si>
    <t>DL-CS-650233</t>
  </si>
  <si>
    <t>DL-CS-977284</t>
  </si>
  <si>
    <t>DL-CS-132217</t>
  </si>
  <si>
    <t>DL-CS-108308</t>
  </si>
  <si>
    <t>DL-CS-368093</t>
  </si>
  <si>
    <t>DL-CS-283062</t>
  </si>
  <si>
    <t>DL-CS-494366</t>
  </si>
  <si>
    <t>DL-CS-844840</t>
  </si>
  <si>
    <t>DL-CS-200235</t>
  </si>
  <si>
    <t>DL-CS-174740</t>
  </si>
  <si>
    <t>DL-CS-478496</t>
  </si>
  <si>
    <t>DL-CS-953049</t>
  </si>
  <si>
    <t>DL-CS-850201</t>
  </si>
  <si>
    <t>DL-CS-903328</t>
  </si>
  <si>
    <t>DL-CS-277247</t>
  </si>
  <si>
    <t>DL-CS-763165</t>
  </si>
  <si>
    <t>DL-CS-629525</t>
  </si>
  <si>
    <t>DL-CS-120056</t>
  </si>
  <si>
    <t>DL-CS-276615</t>
  </si>
  <si>
    <t>DL-CS-287628</t>
  </si>
  <si>
    <t>DL-CS-738836</t>
  </si>
  <si>
    <t>DL-CS-473632</t>
  </si>
  <si>
    <t>DL-CS-234415</t>
  </si>
  <si>
    <t>DL-CS-506716</t>
  </si>
  <si>
    <t>DL-CS-546438</t>
  </si>
  <si>
    <t>DL-CS-653663</t>
  </si>
  <si>
    <t>DL-CS-765022</t>
  </si>
  <si>
    <t>DL-CS-641252</t>
  </si>
  <si>
    <t>DL-CS-737717</t>
  </si>
  <si>
    <t>DL-CS-352764</t>
  </si>
  <si>
    <t>DL-CS-814998</t>
  </si>
  <si>
    <t>DL-CS-566882</t>
  </si>
  <si>
    <t>DL-CS-840427</t>
  </si>
  <si>
    <t>DL-CS-612153</t>
  </si>
  <si>
    <t>DL-CS-167215</t>
  </si>
  <si>
    <t>DL-CS-955474</t>
  </si>
  <si>
    <t>DL-CS-244356</t>
  </si>
  <si>
    <t>DL-CS-303861</t>
  </si>
  <si>
    <t>DL-CS-455612</t>
  </si>
  <si>
    <t>DL-CS-554605</t>
  </si>
  <si>
    <t>DL-CS-109435</t>
  </si>
  <si>
    <t>DL-CS-547556</t>
  </si>
  <si>
    <t>DL-CS-799438</t>
  </si>
  <si>
    <t>DL-CS-965264</t>
  </si>
  <si>
    <t>DL-CS-675581</t>
  </si>
  <si>
    <t>DL-CS-178781</t>
  </si>
  <si>
    <t>DL-CS-291475</t>
  </si>
  <si>
    <t>DL-CS-260196</t>
  </si>
  <si>
    <t>DL-CS-326507</t>
  </si>
  <si>
    <t>DL-CS-406063</t>
  </si>
  <si>
    <t>DL-CS-864121</t>
  </si>
  <si>
    <t>DL-CS-876665</t>
  </si>
  <si>
    <t>DL-CS-790607</t>
  </si>
  <si>
    <t>DL-CS-221172</t>
  </si>
  <si>
    <t>DL-CS-456902</t>
  </si>
  <si>
    <t>DL-CS-584963</t>
  </si>
  <si>
    <t>DL-CS-555968</t>
  </si>
  <si>
    <t>DL-CS-418717</t>
  </si>
  <si>
    <t>DL-CS-159101</t>
  </si>
  <si>
    <t>DL-CS-595972</t>
  </si>
  <si>
    <t>DL-CS-388790</t>
  </si>
  <si>
    <t>DL-CS-990617</t>
  </si>
  <si>
    <t>DL-CS-647337</t>
  </si>
  <si>
    <t>DL-CS-834965</t>
  </si>
  <si>
    <t>DL-CS-460260</t>
  </si>
  <si>
    <t>DL-CS-983811</t>
  </si>
  <si>
    <t>DL-CS-692673</t>
  </si>
  <si>
    <t>DL-CS-750419</t>
  </si>
  <si>
    <t>DL-CS-533374</t>
  </si>
  <si>
    <t>DL-CS-820777</t>
  </si>
  <si>
    <t>DL-CS-647577</t>
  </si>
  <si>
    <t>DL-CS-472370</t>
  </si>
  <si>
    <t>DL-CS-987225</t>
  </si>
  <si>
    <t>DL-CS-371967</t>
  </si>
  <si>
    <t>DL-CS-291232</t>
  </si>
  <si>
    <t>DL-CS-404119</t>
  </si>
  <si>
    <t>DL-CS-109540</t>
  </si>
  <si>
    <t>DL-CS-640652</t>
  </si>
  <si>
    <t>DL-CS-497827</t>
  </si>
  <si>
    <t>DL-CS-651951</t>
  </si>
  <si>
    <t>DL-CS-151991</t>
  </si>
  <si>
    <t>DL-CS-288751</t>
  </si>
  <si>
    <t>DL-CS-466326</t>
  </si>
  <si>
    <t>DL-CS-786337</t>
  </si>
  <si>
    <t>DL-CS-718992</t>
  </si>
  <si>
    <t>DL-CS-149115</t>
  </si>
  <si>
    <t>DL-CS-453151</t>
  </si>
  <si>
    <t>DL-CS-843583</t>
  </si>
  <si>
    <t>DL-CS-291962</t>
  </si>
  <si>
    <t>DL-CS-821747</t>
  </si>
  <si>
    <t>DL-CS-249143</t>
  </si>
  <si>
    <t>DL-CS-814635</t>
  </si>
  <si>
    <t>DL-CS-636226</t>
  </si>
  <si>
    <t>DL-CS-453824</t>
  </si>
  <si>
    <t>DL-CS-104000</t>
  </si>
  <si>
    <t>DL-CS-825948</t>
  </si>
  <si>
    <t>DL-CS-987474</t>
  </si>
  <si>
    <t>DL-CS-455754</t>
  </si>
  <si>
    <t>Welfare Scheme</t>
  </si>
  <si>
    <t>Civic Amenity</t>
  </si>
  <si>
    <t>Public Grievance</t>
  </si>
  <si>
    <t>Revenue Certificate</t>
  </si>
  <si>
    <t>Transport (Vahan/Sarathi)</t>
  </si>
  <si>
    <t>Resolved</t>
  </si>
  <si>
    <t>Pending</t>
  </si>
  <si>
    <t>In Progress</t>
  </si>
  <si>
    <t>Rejected</t>
  </si>
  <si>
    <t>High</t>
  </si>
  <si>
    <t>Medium</t>
  </si>
  <si>
    <t>Urgent</t>
  </si>
  <si>
    <t>Low</t>
  </si>
  <si>
    <t>MCD</t>
  </si>
  <si>
    <t>PWD</t>
  </si>
  <si>
    <t>Revenue Dept</t>
  </si>
  <si>
    <t>Social Welfare</t>
  </si>
  <si>
    <t>Transport Dept</t>
  </si>
  <si>
    <t>e-District Portal</t>
  </si>
  <si>
    <t>LG Listening Post</t>
  </si>
  <si>
    <t>CSC</t>
  </si>
  <si>
    <t>Mobile App</t>
  </si>
  <si>
    <t>Date</t>
  </si>
  <si>
    <t>Tickets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</si>
  <si>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</si>
  <si>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</si>
  <si>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</si>
  <si>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</si>
  <si>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</si>
  <si>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</si>
  <si>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</si>
  <si>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</si>
  <si>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</si>
  <si>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</si>
  <si>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</si>
  <si>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</si>
  <si>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</si>
  <si>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</si>
  <si>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</si>
  <si>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</si>
  <si>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</si>
  <si>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</si>
  <si>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</si>
  <si>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</si>
  <si>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</si>
  <si>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</si>
  <si>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</si>
  <si>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</si>
  <si>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</si>
  <si>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</si>
  <si>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</si>
  <si>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</si>
  <si>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</si>
  <si>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</si>
  <si>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Category</t>
  </si>
  <si>
    <t>Count</t>
  </si>
  <si>
    <t>CITIZEN SERVICES ANALYTICS DASHBOARD</t>
  </si>
  <si>
    <t>Row Labels</t>
  </si>
  <si>
    <t>Grand Total</t>
  </si>
  <si>
    <t>Count of Service_Category</t>
  </si>
  <si>
    <t>Count of Application_Channel</t>
  </si>
  <si>
    <t>Count of Request_ID</t>
  </si>
  <si>
    <t>Count of Assigned_Department</t>
  </si>
  <si>
    <t>Resolution_Time (Hrs)</t>
  </si>
  <si>
    <t>TOTAL SERVICES REQUESTS</t>
  </si>
  <si>
    <t>MOST REQUESTED SERVICE</t>
  </si>
  <si>
    <t>MOST ASSIGNED DEPARTMENT</t>
  </si>
  <si>
    <t>AVERAGE RESOLUTION TIME</t>
  </si>
  <si>
    <t>MOST USED APPLICATION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</si>
</sst>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3"/>
      <color rgb="FFFFFFFF"/>
      <name val="Anta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0D948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0D9488"/>
      <color rgb="FF0F172A"/>
      <color rgb="FFFFAAE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Citizen_Services_Dashboard.xlsx]Sheet1!PivotTable1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635050020931694E-2"/>
          <c:y val="4.6931685669862659E-2"/>
          <c:w val="0.96571887962252145"/>
          <c:h val="0.7134562384532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Sheet1!$A$4:$A$12</c:f>
              <c:strCache>
                <c:ptCount val="8"/>
                <c:pt idx="0">
                  <c:v>AIIMS Crossing</c:v>
                </c:pt>
                <c:pt idx="1">
                  <c:v>Chandni Chowk</c:v>
                </c:pt>
                <c:pt idx="2">
                  <c:v>Connaught Place</c:v>
                </c:pt>
                <c:pt idx="3">
                  <c:v>DND Flyway</c:v>
                </c:pt>
                <c:pt idx="4">
                  <c:v>India Gate Circle</c:v>
                </c:pt>
                <c:pt idx="5">
                  <c:v>NH8 (near Airport)</c:v>
                </c:pt>
                <c:pt idx="6">
                  <c:v>Outer Ring Road (IIT Delhi)</c:v>
                </c:pt>
                <c:pt idx="7">
                  <c:v>Rajiv Chowk Metro Area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31</c:v>
                </c:pt>
                <c:pt idx="1">
                  <c:v>19</c:v>
                </c:pt>
                <c:pt idx="2">
                  <c:v>24</c:v>
                </c:pt>
                <c:pt idx="3">
                  <c:v>22</c:v>
                </c:pt>
                <c:pt idx="4">
                  <c:v>31</c:v>
                </c:pt>
                <c:pt idx="5">
                  <c:v>20</c:v>
                </c:pt>
                <c:pt idx="6">
                  <c:v>30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7-4C48-9584-BA57C4D133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92216879"/>
        <c:axId val="1692230319"/>
      </c:barChart>
      <c:catAx>
        <c:axId val="169221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30319"/>
        <c:crosses val="autoZero"/>
        <c:auto val="1"/>
        <c:lblAlgn val="ctr"/>
        <c:lblOffset val="100"/>
        <c:noMultiLvlLbl val="0"/>
      </c:catAx>
      <c:valAx>
        <c:axId val="16922303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221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Citizen_Services_Dashboard.xlsx]Sheet2!PivotTable2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4673131301276668E-2"/>
          <c:y val="2.2620417376893666E-2"/>
          <c:w val="0.6449437623058788"/>
          <c:h val="0.93254142178163024"/>
        </c:manualLayout>
      </c:layout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explosion val="1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F22-499A-B912-00819C76B952}"/>
              </c:ext>
            </c:extLst>
          </c:dPt>
          <c:dPt>
            <c:idx val="1"/>
            <c:bubble3D val="0"/>
            <c:explosion val="8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F22-499A-B912-00819C76B9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F22-499A-B912-00819C76B95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F22-499A-B912-00819C76B9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F22-499A-B912-00819C76B95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Civic Amenity</c:v>
                </c:pt>
                <c:pt idx="1">
                  <c:v>Public Grievance</c:v>
                </c:pt>
                <c:pt idx="2">
                  <c:v>Revenue Certificate</c:v>
                </c:pt>
                <c:pt idx="3">
                  <c:v>Transport (Vahan/Sarathi)</c:v>
                </c:pt>
                <c:pt idx="4">
                  <c:v>Welfare Scheme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44</c:v>
                </c:pt>
                <c:pt idx="1">
                  <c:v>32</c:v>
                </c:pt>
                <c:pt idx="2">
                  <c:v>41</c:v>
                </c:pt>
                <c:pt idx="3">
                  <c:v>34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22-499A-B912-00819C76B9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Citizen_Services_Dashboard.xlsx]Sheet3!PivotTable3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Sheet3!$A$4:$A$12</c:f>
              <c:strCache>
                <c:ptCount val="8"/>
                <c:pt idx="0">
                  <c:v>AIIMS Crossing</c:v>
                </c:pt>
                <c:pt idx="1">
                  <c:v>Chandni Chowk</c:v>
                </c:pt>
                <c:pt idx="2">
                  <c:v>Connaught Place</c:v>
                </c:pt>
                <c:pt idx="3">
                  <c:v>DND Flyway</c:v>
                </c:pt>
                <c:pt idx="4">
                  <c:v>India Gate Circle</c:v>
                </c:pt>
                <c:pt idx="5">
                  <c:v>NH8 (near Airport)</c:v>
                </c:pt>
                <c:pt idx="6">
                  <c:v>Outer Ring Road (IIT Delhi)</c:v>
                </c:pt>
                <c:pt idx="7">
                  <c:v>Rajiv Chowk Metro Area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31</c:v>
                </c:pt>
                <c:pt idx="1">
                  <c:v>19</c:v>
                </c:pt>
                <c:pt idx="2">
                  <c:v>24</c:v>
                </c:pt>
                <c:pt idx="3">
                  <c:v>22</c:v>
                </c:pt>
                <c:pt idx="4">
                  <c:v>31</c:v>
                </c:pt>
                <c:pt idx="5">
                  <c:v>20</c:v>
                </c:pt>
                <c:pt idx="6">
                  <c:v>30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4-4EAB-B948-48CDD48E82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9356271"/>
        <c:axId val="1979359151"/>
      </c:barChart>
      <c:catAx>
        <c:axId val="197935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59151"/>
        <c:crosses val="autoZero"/>
        <c:auto val="1"/>
        <c:lblAlgn val="ctr"/>
        <c:lblOffset val="100"/>
        <c:noMultiLvlLbl val="0"/>
      </c:catAx>
      <c:valAx>
        <c:axId val="19793591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5627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Citizen_Services_Dashboard.xlsx]Sheet5!PivotTable5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>
            <c:manualLayout>
              <c:x val="0"/>
              <c:y val="0.115768996413269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>
            <c:manualLayout>
              <c:x val="-8.0055361118821042E-2"/>
              <c:y val="2.55987413136329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>
            <c:manualLayout>
              <c:x val="-5.2536330734226339E-2"/>
              <c:y val="-9.87380022097271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>
            <c:manualLayout>
              <c:x val="5.2536330734226248E-2"/>
              <c:y val="-9.142407612011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>
            <c:manualLayout>
              <c:x val="8.7560551223710453E-2"/>
              <c:y val="2.92557043584376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460660983086036"/>
          <c:y val="7.9534034062166262E-2"/>
          <c:w val="0.51305015049655567"/>
          <c:h val="0.77164830532291606"/>
        </c:manualLayout>
      </c:layout>
      <c:radarChart>
        <c:radarStyle val="marker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F1-415B-B414-8FFC7B66BBC4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EF1-415B-B414-8FFC7B66BBC4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EF1-415B-B414-8FFC7B66BBC4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EF1-415B-B414-8FFC7B66BBC4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EF1-415B-B414-8FFC7B66BBC4}"/>
              </c:ext>
            </c:extLst>
          </c:dPt>
          <c:dLbls>
            <c:dLbl>
              <c:idx val="0"/>
              <c:layout>
                <c:manualLayout>
                  <c:x val="0"/>
                  <c:y val="0.115768996413269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F1-415B-B414-8FFC7B66BBC4}"/>
                </c:ext>
              </c:extLst>
            </c:dLbl>
            <c:dLbl>
              <c:idx val="1"/>
              <c:layout>
                <c:manualLayout>
                  <c:x val="-8.0055361118821042E-2"/>
                  <c:y val="2.5598741313632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F1-415B-B414-8FFC7B66BBC4}"/>
                </c:ext>
              </c:extLst>
            </c:dLbl>
            <c:dLbl>
              <c:idx val="2"/>
              <c:layout>
                <c:manualLayout>
                  <c:x val="-5.2536330734226339E-2"/>
                  <c:y val="-9.8738002209727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F1-415B-B414-8FFC7B66BBC4}"/>
                </c:ext>
              </c:extLst>
            </c:dLbl>
            <c:dLbl>
              <c:idx val="3"/>
              <c:layout>
                <c:manualLayout>
                  <c:x val="5.2536330734226248E-2"/>
                  <c:y val="-9.14240761201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F1-415B-B414-8FFC7B66BBC4}"/>
                </c:ext>
              </c:extLst>
            </c:dLbl>
            <c:dLbl>
              <c:idx val="4"/>
              <c:layout>
                <c:manualLayout>
                  <c:x val="8.7560551223710453E-2"/>
                  <c:y val="2.92557043584376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F1-415B-B414-8FFC7B66BB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Sheet5!$A$4:$A$9</c:f>
              <c:strCache>
                <c:ptCount val="5"/>
                <c:pt idx="0">
                  <c:v>Civic Amenity</c:v>
                </c:pt>
                <c:pt idx="1">
                  <c:v>Public Grievance</c:v>
                </c:pt>
                <c:pt idx="2">
                  <c:v>Revenue Certificate</c:v>
                </c:pt>
                <c:pt idx="3">
                  <c:v>Transport (Vahan/Sarathi)</c:v>
                </c:pt>
                <c:pt idx="4">
                  <c:v>Welfare Scheme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44</c:v>
                </c:pt>
                <c:pt idx="1">
                  <c:v>32</c:v>
                </c:pt>
                <c:pt idx="2">
                  <c:v>41</c:v>
                </c:pt>
                <c:pt idx="3">
                  <c:v>34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1-415B-B414-8FFC7B66BB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79388431"/>
        <c:axId val="1979380751"/>
      </c:radarChart>
      <c:catAx>
        <c:axId val="197938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80751"/>
        <c:crosses val="autoZero"/>
        <c:auto val="1"/>
        <c:lblAlgn val="ctr"/>
        <c:lblOffset val="100"/>
        <c:noMultiLvlLbl val="0"/>
      </c:catAx>
      <c:valAx>
        <c:axId val="1979380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7938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Citizen_Services_Dashboard.xlsx]Sheet6!PivotTable7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25400"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25400"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-1.9400393415537737E-3"/>
              <c:y val="-0.358358294878929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25400"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-3.5566977055730554E-17"/>
              <c:y val="-0.321414140767699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25400"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3.8800786831074052E-3"/>
              <c:y val="-0.240137001722993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25400"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-1.9400393415537026E-3"/>
              <c:y val="-0.317719725356576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25400"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-1.9400393415538448E-3"/>
              <c:y val="-0.299247648300961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867096997830401E-2"/>
          <c:y val="4.8746840799960278E-2"/>
          <c:w val="0.81435645555010838"/>
          <c:h val="0.80429752900254303"/>
        </c:manualLayout>
      </c:layout>
      <c:area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25400">
              <a:noFill/>
            </a:ln>
            <a:effectLst>
              <a:innerShdw dist="12700" dir="16200000">
                <a:schemeClr val="lt1"/>
              </a:inn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8-5F99-492D-96D7-399C93F4F49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5F99-492D-96D7-399C93F4F49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5F99-492D-96D7-399C93F4F49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B-5F99-492D-96D7-399C93F4F49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C-5F99-492D-96D7-399C93F4F494}"/>
              </c:ext>
            </c:extLst>
          </c:dPt>
          <c:dLbls>
            <c:dLbl>
              <c:idx val="0"/>
              <c:layout>
                <c:manualLayout>
                  <c:x val="3.8800786831074052E-3"/>
                  <c:y val="-0.240137001722993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99-492D-96D7-399C93F4F494}"/>
                </c:ext>
              </c:extLst>
            </c:dLbl>
            <c:dLbl>
              <c:idx val="1"/>
              <c:layout>
                <c:manualLayout>
                  <c:x val="-3.5566977055730554E-17"/>
                  <c:y val="-0.321414140767699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99-492D-96D7-399C93F4F494}"/>
                </c:ext>
              </c:extLst>
            </c:dLbl>
            <c:dLbl>
              <c:idx val="2"/>
              <c:layout>
                <c:manualLayout>
                  <c:x val="-1.9400393415537737E-3"/>
                  <c:y val="-0.358358294878929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99-492D-96D7-399C93F4F494}"/>
                </c:ext>
              </c:extLst>
            </c:dLbl>
            <c:dLbl>
              <c:idx val="3"/>
              <c:layout>
                <c:manualLayout>
                  <c:x val="-1.9400393415537026E-3"/>
                  <c:y val="-0.317719725356576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99-492D-96D7-399C93F4F494}"/>
                </c:ext>
              </c:extLst>
            </c:dLbl>
            <c:dLbl>
              <c:idx val="4"/>
              <c:layout>
                <c:manualLayout>
                  <c:x val="-1.9400393415538448E-3"/>
                  <c:y val="-0.299247648300961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99-492D-96D7-399C93F4F4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Sheet6!$A$4:$A$9</c:f>
              <c:strCache>
                <c:ptCount val="5"/>
                <c:pt idx="0">
                  <c:v>MCD</c:v>
                </c:pt>
                <c:pt idx="1">
                  <c:v>PWD</c:v>
                </c:pt>
                <c:pt idx="2">
                  <c:v>Revenue Dept</c:v>
                </c:pt>
                <c:pt idx="3">
                  <c:v>Social Welfare</c:v>
                </c:pt>
                <c:pt idx="4">
                  <c:v>Transport Dept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31</c:v>
                </c:pt>
                <c:pt idx="1">
                  <c:v>41</c:v>
                </c:pt>
                <c:pt idx="2">
                  <c:v>48</c:v>
                </c:pt>
                <c:pt idx="3">
                  <c:v>41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99-492D-96D7-399C93F4F4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79361551"/>
        <c:axId val="1979353871"/>
      </c:areaChart>
      <c:catAx>
        <c:axId val="197936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53871"/>
        <c:crosses val="autoZero"/>
        <c:auto val="1"/>
        <c:lblAlgn val="ctr"/>
        <c:lblOffset val="100"/>
        <c:noMultiLvlLbl val="0"/>
      </c:catAx>
      <c:valAx>
        <c:axId val="19793538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6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Citizen_Services_Dashboard.xlsx]Sheet4!PivotTable4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8415418490385263E-2"/>
              <c:y val="4.69747920917325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94004403750077E-2"/>
              <c:y val="-3.61344554551789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6573876641346741E-2"/>
              <c:y val="5.42016831827683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940044037500753E-2"/>
              <c:y val="4.3361346546214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4B-45BA-BEF6-E23E7589365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4B-45BA-BEF6-E23E7589365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4B-45BA-BEF6-E23E7589365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4B-45BA-BEF6-E23E75893659}"/>
              </c:ext>
            </c:extLst>
          </c:dPt>
          <c:dLbls>
            <c:dLbl>
              <c:idx val="0"/>
              <c:layout>
                <c:manualLayout>
                  <c:x val="-2.394004403750077E-2"/>
                  <c:y val="-3.61344554551789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4B-45BA-BEF6-E23E75893659}"/>
                </c:ext>
              </c:extLst>
            </c:dLbl>
            <c:dLbl>
              <c:idx val="1"/>
              <c:layout>
                <c:manualLayout>
                  <c:x val="-1.8415418490385263E-2"/>
                  <c:y val="4.6974792091732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4B-45BA-BEF6-E23E75893659}"/>
                </c:ext>
              </c:extLst>
            </c:dLbl>
            <c:dLbl>
              <c:idx val="2"/>
              <c:layout>
                <c:manualLayout>
                  <c:x val="-1.6573876641346741E-2"/>
                  <c:y val="5.4201683182768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4B-45BA-BEF6-E23E75893659}"/>
                </c:ext>
              </c:extLst>
            </c:dLbl>
            <c:dLbl>
              <c:idx val="3"/>
              <c:layout>
                <c:manualLayout>
                  <c:x val="-2.3940044037500753E-2"/>
                  <c:y val="4.33613465462146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4B-45BA-BEF6-E23E75893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Civic Amenity</c:v>
                </c:pt>
                <c:pt idx="1">
                  <c:v>Public Grievance</c:v>
                </c:pt>
                <c:pt idx="2">
                  <c:v>Revenue Certificate</c:v>
                </c:pt>
                <c:pt idx="3">
                  <c:v>Transport (Vahan/Sarathi)</c:v>
                </c:pt>
                <c:pt idx="4">
                  <c:v>Welfare Scheme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44</c:v>
                </c:pt>
                <c:pt idx="1">
                  <c:v>32</c:v>
                </c:pt>
                <c:pt idx="2">
                  <c:v>41</c:v>
                </c:pt>
                <c:pt idx="3">
                  <c:v>34</c:v>
                </c:pt>
                <c:pt idx="4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B-45BA-BEF6-E23E7589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299151"/>
        <c:axId val="1979300111"/>
      </c:lineChart>
      <c:catAx>
        <c:axId val="197929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00111"/>
        <c:crosses val="autoZero"/>
        <c:auto val="1"/>
        <c:lblAlgn val="ctr"/>
        <c:lblOffset val="100"/>
        <c:noMultiLvlLbl val="0"/>
      </c:catAx>
      <c:valAx>
        <c:axId val="19793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9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30725</xdr:colOff>
      <xdr:row>10</xdr:row>
      <xdr:rowOff>103595</xdr:rowOff>
    </xdr:from>
    <xdr:to>
      <xdr:col>7</xdr:col>
      <xdr:colOff>852466</xdr:colOff>
      <xdr:row>29</xdr:row>
      <xdr:rowOff>24966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D7AC2B-E62D-4BA7-9B28-1F4EEB8CA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931535</xdr:colOff>
      <xdr:row>10</xdr:row>
      <xdr:rowOff>94190</xdr:rowOff>
    </xdr:from>
    <xdr:to>
      <xdr:col>15</xdr:col>
      <xdr:colOff>34795</xdr:colOff>
      <xdr:row>29</xdr:row>
      <xdr:rowOff>23925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1C45C4-5EDF-4649-87D4-3DA4FD355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26458</xdr:colOff>
      <xdr:row>35</xdr:row>
      <xdr:rowOff>8816</xdr:rowOff>
    </xdr:from>
    <xdr:to>
      <xdr:col>7</xdr:col>
      <xdr:colOff>805089</xdr:colOff>
      <xdr:row>54</xdr:row>
      <xdr:rowOff>43792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E5F98C-C299-45E0-8BEF-A2DBDA9AC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338410</xdr:colOff>
      <xdr:row>34</xdr:row>
      <xdr:rowOff>158369</xdr:rowOff>
    </xdr:from>
    <xdr:to>
      <xdr:col>25</xdr:col>
      <xdr:colOff>543989</xdr:colOff>
      <xdr:row>54</xdr:row>
      <xdr:rowOff>22971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51F7561-DB6E-4CAE-8F29-5676F302D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92457</xdr:colOff>
      <xdr:row>10</xdr:row>
      <xdr:rowOff>109483</xdr:rowOff>
    </xdr:from>
    <xdr:to>
      <xdr:col>25</xdr:col>
      <xdr:colOff>574109</xdr:colOff>
      <xdr:row>29</xdr:row>
      <xdr:rowOff>32845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9F2273F-98F6-4593-9BEA-D963ACB00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21896</xdr:colOff>
      <xdr:row>29</xdr:row>
      <xdr:rowOff>174113</xdr:rowOff>
    </xdr:from>
    <xdr:to>
      <xdr:col>7</xdr:col>
      <xdr:colOff>821121</xdr:colOff>
      <xdr:row>34</xdr:row>
      <xdr:rowOff>122903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C475610-459E-F31E-8AE5-F6484D26D3A1}"/>
            </a:ext>
          </a:extLst>
        </xdr:cNvPr>
        <xdr:cNvSpPr txBox="1"/>
      </xdr:nvSpPr>
      <xdr:spPr>
        <a:xfrm>
          <a:off x="208017" y="5867216"/>
          <a:ext cx="7368190" cy="879394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REQUESTS</a:t>
          </a:r>
          <a:r>
            <a:rPr lang="en-IN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 ID BY LOCATION</a:t>
          </a:r>
          <a:endParaRPr lang="en-IN" sz="32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  <a:latin typeface="+mj-lt"/>
          </a:endParaRPr>
        </a:p>
      </xdr:txBody>
    </xdr:sp>
    <xdr:clientData/>
  </xdr:twoCellAnchor>
  <xdr:twoCellAnchor>
    <xdr:from>
      <xdr:col>7</xdr:col>
      <xdr:colOff>892934</xdr:colOff>
      <xdr:row>30</xdr:row>
      <xdr:rowOff>0</xdr:rowOff>
    </xdr:from>
    <xdr:to>
      <xdr:col>17</xdr:col>
      <xdr:colOff>229914</xdr:colOff>
      <xdr:row>34</xdr:row>
      <xdr:rowOff>133145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A413950-8BF4-4C4F-8359-B1F2A3F4B00F}"/>
            </a:ext>
          </a:extLst>
        </xdr:cNvPr>
        <xdr:cNvSpPr txBox="1"/>
      </xdr:nvSpPr>
      <xdr:spPr>
        <a:xfrm>
          <a:off x="7648020" y="5879224"/>
          <a:ext cx="6913187" cy="87762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REQUESTS</a:t>
          </a:r>
          <a:r>
            <a:rPr lang="en-IN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 ID BY SERVICE CATEGORY</a:t>
          </a:r>
          <a:endParaRPr lang="en-IN" sz="32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  <a:latin typeface="+mj-lt"/>
          </a:endParaRPr>
        </a:p>
      </xdr:txBody>
    </xdr:sp>
    <xdr:clientData/>
  </xdr:twoCellAnchor>
  <xdr:twoCellAnchor>
    <xdr:from>
      <xdr:col>17</xdr:col>
      <xdr:colOff>332268</xdr:colOff>
      <xdr:row>29</xdr:row>
      <xdr:rowOff>131380</xdr:rowOff>
    </xdr:from>
    <xdr:to>
      <xdr:col>25</xdr:col>
      <xdr:colOff>568546</xdr:colOff>
      <xdr:row>34</xdr:row>
      <xdr:rowOff>126919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7DF81C3-777B-4E42-B21C-F2BDCA634206}"/>
            </a:ext>
          </a:extLst>
        </xdr:cNvPr>
        <xdr:cNvSpPr txBox="1"/>
      </xdr:nvSpPr>
      <xdr:spPr>
        <a:xfrm>
          <a:off x="14663561" y="5824483"/>
          <a:ext cx="5141106" cy="92614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CHANNEL BY SERVICE CATEGORY</a:t>
          </a:r>
          <a:endParaRPr lang="en-IN" sz="32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  <a:latin typeface="+mj-lt"/>
          </a:endParaRPr>
        </a:p>
      </xdr:txBody>
    </xdr:sp>
    <xdr:clientData/>
  </xdr:twoCellAnchor>
  <xdr:twoCellAnchor>
    <xdr:from>
      <xdr:col>1</xdr:col>
      <xdr:colOff>23693</xdr:colOff>
      <xdr:row>6</xdr:row>
      <xdr:rowOff>23695</xdr:rowOff>
    </xdr:from>
    <xdr:to>
      <xdr:col>7</xdr:col>
      <xdr:colOff>862462</xdr:colOff>
      <xdr:row>10</xdr:row>
      <xdr:rowOff>75969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3BCAD52-0166-4347-AB09-1B571DFA7C4F}"/>
            </a:ext>
          </a:extLst>
        </xdr:cNvPr>
        <xdr:cNvSpPr txBox="1"/>
      </xdr:nvSpPr>
      <xdr:spPr>
        <a:xfrm>
          <a:off x="213245" y="1435859"/>
          <a:ext cx="7435187" cy="79152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SERVICE CATEGORY BY LOCATION</a:t>
          </a:r>
          <a:endParaRPr lang="en-IN" sz="32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  <a:latin typeface="+mj-lt"/>
          </a:endParaRPr>
        </a:p>
      </xdr:txBody>
    </xdr:sp>
    <xdr:clientData/>
  </xdr:twoCellAnchor>
  <xdr:twoCellAnchor>
    <xdr:from>
      <xdr:col>7</xdr:col>
      <xdr:colOff>919329</xdr:colOff>
      <xdr:row>6</xdr:row>
      <xdr:rowOff>23694</xdr:rowOff>
    </xdr:from>
    <xdr:to>
      <xdr:col>15</xdr:col>
      <xdr:colOff>52127</xdr:colOff>
      <xdr:row>10</xdr:row>
      <xdr:rowOff>75969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8B381D7-AA5E-4903-B9AD-951B75DB7279}"/>
            </a:ext>
          </a:extLst>
        </xdr:cNvPr>
        <xdr:cNvSpPr txBox="1"/>
      </xdr:nvSpPr>
      <xdr:spPr>
        <a:xfrm>
          <a:off x="7705299" y="1435858"/>
          <a:ext cx="5487537" cy="791529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SERVICE</a:t>
          </a:r>
          <a:r>
            <a:rPr lang="en-IN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 CATEGORIES SHARE</a:t>
          </a:r>
          <a:endParaRPr lang="en-IN" sz="3200" b="1" cap="none" spc="0" baseline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  <a:latin typeface="+mj-lt"/>
          </a:endParaRPr>
        </a:p>
      </xdr:txBody>
    </xdr:sp>
    <xdr:clientData/>
  </xdr:twoCellAnchor>
  <xdr:twoCellAnchor>
    <xdr:from>
      <xdr:col>15</xdr:col>
      <xdr:colOff>94777</xdr:colOff>
      <xdr:row>6</xdr:row>
      <xdr:rowOff>28432</xdr:rowOff>
    </xdr:from>
    <xdr:to>
      <xdr:col>25</xdr:col>
      <xdr:colOff>573395</xdr:colOff>
      <xdr:row>10</xdr:row>
      <xdr:rowOff>57013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89FB7F2-9C84-4BAC-A740-3A173810DABD}"/>
            </a:ext>
          </a:extLst>
        </xdr:cNvPr>
        <xdr:cNvSpPr txBox="1"/>
      </xdr:nvSpPr>
      <xdr:spPr>
        <a:xfrm>
          <a:off x="13235486" y="1440596"/>
          <a:ext cx="6591678" cy="76783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j-lt"/>
            </a:rPr>
            <a:t>ASSIGNED DEPARTMENTS COUNT</a:t>
          </a:r>
          <a:endParaRPr lang="en-IN" sz="32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  <a:latin typeface="+mj-lt"/>
          </a:endParaRPr>
        </a:p>
      </xdr:txBody>
    </xdr:sp>
    <xdr:clientData/>
  </xdr:twoCellAnchor>
  <xdr:twoCellAnchor>
    <xdr:from>
      <xdr:col>7</xdr:col>
      <xdr:colOff>908197</xdr:colOff>
      <xdr:row>35</xdr:row>
      <xdr:rowOff>29534</xdr:rowOff>
    </xdr:from>
    <xdr:to>
      <xdr:col>17</xdr:col>
      <xdr:colOff>214127</xdr:colOff>
      <xdr:row>54</xdr:row>
      <xdr:rowOff>36918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0E69D7E-08FF-47DA-9BC8-BB079F2CF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646140</xdr:colOff>
      <xdr:row>4</xdr:row>
      <xdr:rowOff>55703</xdr:rowOff>
    </xdr:from>
    <xdr:to>
      <xdr:col>6</xdr:col>
      <xdr:colOff>690702</xdr:colOff>
      <xdr:row>5</xdr:row>
      <xdr:rowOff>111405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C6F9E9-0BB5-FCF7-E728-C2CE272C897E}"/>
            </a:ext>
          </a:extLst>
        </xdr:cNvPr>
        <xdr:cNvSpPr txBox="1"/>
      </xdr:nvSpPr>
      <xdr:spPr>
        <a:xfrm>
          <a:off x="4144210" y="991492"/>
          <a:ext cx="2250352" cy="356492"/>
        </a:xfrm>
        <a:prstGeom prst="rect">
          <a:avLst/>
        </a:prstGeom>
        <a:solidFill>
          <a:srgbClr val="0D9488"/>
        </a:solidFill>
        <a:ln w="9525" cmpd="sng">
          <a:solidFill>
            <a:srgbClr val="0D948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dk1"/>
              </a:solidFill>
              <a:latin typeface="+mn-lt"/>
              <a:ea typeface="+mn-ea"/>
              <a:cs typeface="+mn-cs"/>
            </a:rPr>
            <a:t>WELFARE SCHEME</a:t>
          </a:r>
          <a:r>
            <a:rPr lang="en-IN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n-IN" sz="20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802105</xdr:colOff>
      <xdr:row>4</xdr:row>
      <xdr:rowOff>44562</xdr:rowOff>
    </xdr:from>
    <xdr:to>
      <xdr:col>9</xdr:col>
      <xdr:colOff>579297</xdr:colOff>
      <xdr:row>5</xdr:row>
      <xdr:rowOff>111403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379AF5-4BDA-4CEE-BDE6-F744B92F7656}"/>
            </a:ext>
          </a:extLst>
        </xdr:cNvPr>
        <xdr:cNvSpPr txBox="1"/>
      </xdr:nvSpPr>
      <xdr:spPr>
        <a:xfrm>
          <a:off x="7608859" y="980351"/>
          <a:ext cx="1982982" cy="367631"/>
        </a:xfrm>
        <a:prstGeom prst="rect">
          <a:avLst/>
        </a:prstGeom>
        <a:solidFill>
          <a:srgbClr val="0D9488"/>
        </a:solidFill>
        <a:ln w="9525" cmpd="sng">
          <a:solidFill>
            <a:srgbClr val="0D948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dk1"/>
              </a:solidFill>
              <a:latin typeface="+mn-lt"/>
              <a:ea typeface="+mn-ea"/>
              <a:cs typeface="+mn-cs"/>
            </a:rPr>
            <a:t>WELFARE SCEME</a:t>
          </a:r>
        </a:p>
      </xdr:txBody>
    </xdr:sp>
    <xdr:clientData/>
  </xdr:twoCellAnchor>
  <xdr:twoCellAnchor>
    <xdr:from>
      <xdr:col>7</xdr:col>
      <xdr:colOff>111404</xdr:colOff>
      <xdr:row>4</xdr:row>
      <xdr:rowOff>33421</xdr:rowOff>
    </xdr:from>
    <xdr:to>
      <xdr:col>9</xdr:col>
      <xdr:colOff>813246</xdr:colOff>
      <xdr:row>5</xdr:row>
      <xdr:rowOff>133684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89E5421-D293-442D-BA51-D3C85627D6F2}"/>
            </a:ext>
          </a:extLst>
        </xdr:cNvPr>
        <xdr:cNvSpPr txBox="1"/>
      </xdr:nvSpPr>
      <xdr:spPr>
        <a:xfrm>
          <a:off x="6918158" y="1002632"/>
          <a:ext cx="2907632" cy="401052"/>
        </a:xfrm>
        <a:prstGeom prst="rect">
          <a:avLst/>
        </a:prstGeom>
        <a:solidFill>
          <a:srgbClr val="0D9488"/>
        </a:solidFill>
        <a:ln w="9525" cmpd="sng">
          <a:solidFill>
            <a:srgbClr val="0D948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dk1"/>
              </a:solidFill>
              <a:latin typeface="+mn-lt"/>
              <a:ea typeface="+mn-ea"/>
              <a:cs typeface="+mn-cs"/>
            </a:rPr>
            <a:t>REVENUE DEPTARTMENT</a:t>
          </a:r>
        </a:p>
      </xdr:txBody>
    </xdr:sp>
    <xdr:clientData/>
  </xdr:twoCellAnchor>
  <xdr:twoCellAnchor>
    <xdr:from>
      <xdr:col>13</xdr:col>
      <xdr:colOff>423333</xdr:colOff>
      <xdr:row>4</xdr:row>
      <xdr:rowOff>44562</xdr:rowOff>
    </xdr:from>
    <xdr:to>
      <xdr:col>14</xdr:col>
      <xdr:colOff>434473</xdr:colOff>
      <xdr:row>5</xdr:row>
      <xdr:rowOff>89123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59C5D2-5C9C-4416-A58F-3144E140CFD2}"/>
            </a:ext>
          </a:extLst>
        </xdr:cNvPr>
        <xdr:cNvSpPr txBox="1"/>
      </xdr:nvSpPr>
      <xdr:spPr>
        <a:xfrm>
          <a:off x="12376929" y="980351"/>
          <a:ext cx="623860" cy="345351"/>
        </a:xfrm>
        <a:prstGeom prst="rect">
          <a:avLst/>
        </a:prstGeom>
        <a:solidFill>
          <a:srgbClr val="0D9488"/>
        </a:solidFill>
        <a:ln w="9525" cmpd="sng">
          <a:solidFill>
            <a:srgbClr val="0D948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dk1"/>
              </a:solidFill>
              <a:latin typeface="+mn-lt"/>
              <a:ea typeface="+mn-ea"/>
              <a:cs typeface="+mn-cs"/>
            </a:rPr>
            <a:t>HRS</a:t>
          </a:r>
        </a:p>
      </xdr:txBody>
    </xdr:sp>
    <xdr:clientData/>
  </xdr:twoCellAnchor>
  <xdr:twoCellAnchor>
    <xdr:from>
      <xdr:col>16</xdr:col>
      <xdr:colOff>256229</xdr:colOff>
      <xdr:row>4</xdr:row>
      <xdr:rowOff>55702</xdr:rowOff>
    </xdr:from>
    <xdr:to>
      <xdr:col>21</xdr:col>
      <xdr:colOff>200526</xdr:colOff>
      <xdr:row>5</xdr:row>
      <xdr:rowOff>133684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FA71E7-0E76-8045-CE49-5280488CE3D3}"/>
            </a:ext>
          </a:extLst>
        </xdr:cNvPr>
        <xdr:cNvSpPr txBox="1"/>
      </xdr:nvSpPr>
      <xdr:spPr>
        <a:xfrm>
          <a:off x="14047983" y="991491"/>
          <a:ext cx="3007894" cy="378772"/>
        </a:xfrm>
        <a:prstGeom prst="rect">
          <a:avLst/>
        </a:prstGeom>
        <a:solidFill>
          <a:srgbClr val="0D9488"/>
        </a:solidFill>
        <a:ln w="9525" cmpd="sng">
          <a:solidFill>
            <a:srgbClr val="0D948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/>
            <a:t>E-DISTRICT PORTAL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" refreshedDate="46315.931148495372" createdVersion="8" refreshedVersion="8" minRefreshableVersion="3" recordCount="200" xr:uid="{EA834774-966A-4747-A386-1D63133D3DAA}">
  <cacheSource type="worksheet">
    <worksheetSource ref="A1:J201" sheet="Raw_Data"/>
  </cacheSource>
  <cacheFields count="10">
    <cacheField name="Timestamp" numFmtId="164">
      <sharedItems containsSemiMixedTypes="0" containsNonDate="0" containsDate="1" containsString="0" minDate="2026-09-01T00:00:00" maxDate="2026-10-01T00:00:00"/>
    </cacheField>
    <cacheField name="Location" numFmtId="0">
      <sharedItems count="8">
        <s v="Outer Ring Road (IIT Delhi)"/>
        <s v="NH8 (near Airport)"/>
        <s v="DND Flyway"/>
        <s v="AIIMS Crossing"/>
        <s v="Chandni Chowk"/>
        <s v="India Gate Circle"/>
        <s v="Rajiv Chowk Metro Area"/>
        <s v="Connaught Place"/>
      </sharedItems>
    </cacheField>
    <cacheField name="Request_ID" numFmtId="0">
      <sharedItems/>
    </cacheField>
    <cacheField name="Service_Category" numFmtId="0">
      <sharedItems count="5">
        <s v="Welfare Scheme"/>
        <s v="Civic Amenity"/>
        <s v="Public Grievance"/>
        <s v="Revenue Certificate"/>
        <s v="Transport (Vahan/Sarathi)"/>
      </sharedItems>
    </cacheField>
    <cacheField name="Status" numFmtId="0">
      <sharedItems/>
    </cacheField>
    <cacheField name="Priority" numFmtId="0">
      <sharedItems/>
    </cacheField>
    <cacheField name="Assigned_Department" numFmtId="0">
      <sharedItems count="5">
        <s v="MCD"/>
        <s v="PWD"/>
        <s v="Revenue Dept"/>
        <s v="Social Welfare"/>
        <s v="Transport Dept"/>
      </sharedItems>
    </cacheField>
    <cacheField name="Resolution_Time (Hrs)" numFmtId="0">
      <sharedItems containsSemiMixedTypes="0" containsString="0" containsNumber="1" containsInteger="1" minValue="1" maxValue="71"/>
    </cacheField>
    <cacheField name="Feedback_Score" numFmtId="0">
      <sharedItems containsSemiMixedTypes="0" containsString="0" containsNumber="1" containsInteger="1" minValue="1" maxValue="5"/>
    </cacheField>
    <cacheField name="Application_Channel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6-09-14T20:15:41"/>
    <x v="0"/>
    <s v="DL-CS-477812"/>
    <x v="0"/>
    <s v="Resolved"/>
    <s v="High"/>
    <x v="0"/>
    <n v="23"/>
    <n v="3"/>
    <s v="e-District Portal"/>
  </r>
  <r>
    <d v="2026-09-03T04:27:44"/>
    <x v="0"/>
    <s v="DL-CS-368246"/>
    <x v="1"/>
    <s v="Resolved"/>
    <s v="Medium"/>
    <x v="1"/>
    <n v="71"/>
    <n v="2"/>
    <s v="e-District Portal"/>
  </r>
  <r>
    <d v="2026-09-05T08:55:29"/>
    <x v="1"/>
    <s v="DL-CS-805696"/>
    <x v="2"/>
    <s v="Resolved"/>
    <s v="Medium"/>
    <x v="2"/>
    <n v="45"/>
    <n v="3"/>
    <s v="LG Listening Post"/>
  </r>
  <r>
    <d v="2026-09-24T00:36:11"/>
    <x v="0"/>
    <s v="DL-CS-218015"/>
    <x v="3"/>
    <s v="Resolved"/>
    <s v="High"/>
    <x v="2"/>
    <n v="20"/>
    <n v="2"/>
    <s v="LG Listening Post"/>
  </r>
  <r>
    <d v="2026-09-19T15:40:42"/>
    <x v="2"/>
    <s v="DL-CS-840674"/>
    <x v="3"/>
    <s v="Resolved"/>
    <s v="Medium"/>
    <x v="1"/>
    <n v="63"/>
    <n v="1"/>
    <s v="CSC"/>
  </r>
  <r>
    <d v="2026-09-17T18:12:40"/>
    <x v="0"/>
    <s v="DL-CS-354079"/>
    <x v="4"/>
    <s v="Resolved"/>
    <s v="Medium"/>
    <x v="0"/>
    <n v="33"/>
    <n v="3"/>
    <s v="LG Listening Post"/>
  </r>
  <r>
    <d v="2026-09-11T01:19:36"/>
    <x v="3"/>
    <s v="DL-CS-650929"/>
    <x v="2"/>
    <s v="Resolved"/>
    <s v="Medium"/>
    <x v="0"/>
    <n v="49"/>
    <n v="4"/>
    <s v="e-District Portal"/>
  </r>
  <r>
    <d v="2026-09-25T18:34:22"/>
    <x v="4"/>
    <s v="DL-CS-789944"/>
    <x v="1"/>
    <s v="Pending"/>
    <s v="Medium"/>
    <x v="3"/>
    <n v="27"/>
    <n v="3"/>
    <s v="e-District Portal"/>
  </r>
  <r>
    <d v="2026-09-26T08:33:46"/>
    <x v="2"/>
    <s v="DL-CS-788105"/>
    <x v="0"/>
    <s v="Pending"/>
    <s v="Urgent"/>
    <x v="3"/>
    <n v="19"/>
    <n v="3"/>
    <s v="LG Listening Post"/>
  </r>
  <r>
    <d v="2026-09-07T13:23:13"/>
    <x v="5"/>
    <s v="DL-CS-613758"/>
    <x v="0"/>
    <s v="In Progress"/>
    <s v="High"/>
    <x v="4"/>
    <n v="13"/>
    <n v="2"/>
    <s v="Mobile App"/>
  </r>
  <r>
    <d v="2026-09-10T14:50:03"/>
    <x v="3"/>
    <s v="DL-CS-465890"/>
    <x v="1"/>
    <s v="Resolved"/>
    <s v="Urgent"/>
    <x v="2"/>
    <n v="9"/>
    <n v="3"/>
    <s v="LG Listening Post"/>
  </r>
  <r>
    <d v="2026-09-27T12:32:34"/>
    <x v="4"/>
    <s v="DL-CS-545101"/>
    <x v="4"/>
    <s v="Rejected"/>
    <s v="Low"/>
    <x v="3"/>
    <n v="34"/>
    <n v="3"/>
    <s v="LG Listening Post"/>
  </r>
  <r>
    <d v="2026-09-25T01:05:08"/>
    <x v="5"/>
    <s v="DL-CS-136631"/>
    <x v="0"/>
    <s v="In Progress"/>
    <s v="High"/>
    <x v="0"/>
    <n v="62"/>
    <n v="3"/>
    <s v="e-District Portal"/>
  </r>
  <r>
    <d v="2026-09-12T08:48:14"/>
    <x v="6"/>
    <s v="DL-CS-866577"/>
    <x v="2"/>
    <s v="Resolved"/>
    <s v="Urgent"/>
    <x v="1"/>
    <n v="32"/>
    <n v="2"/>
    <s v="CSC"/>
  </r>
  <r>
    <d v="2026-09-28T02:31:58"/>
    <x v="6"/>
    <s v="DL-CS-172991"/>
    <x v="4"/>
    <s v="In Progress"/>
    <s v="Low"/>
    <x v="0"/>
    <n v="58"/>
    <n v="3"/>
    <s v="e-District Portal"/>
  </r>
  <r>
    <d v="2026-09-26T19:03:19"/>
    <x v="0"/>
    <s v="DL-CS-104014"/>
    <x v="2"/>
    <s v="Rejected"/>
    <s v="Low"/>
    <x v="2"/>
    <n v="29"/>
    <n v="1"/>
    <s v="CSC"/>
  </r>
  <r>
    <d v="2026-09-09T03:51:33"/>
    <x v="5"/>
    <s v="DL-CS-373237"/>
    <x v="3"/>
    <s v="Resolved"/>
    <s v="High"/>
    <x v="0"/>
    <n v="29"/>
    <n v="3"/>
    <s v="e-District Portal"/>
  </r>
  <r>
    <d v="2026-09-23T03:37:05"/>
    <x v="3"/>
    <s v="DL-CS-118070"/>
    <x v="4"/>
    <s v="Resolved"/>
    <s v="Medium"/>
    <x v="4"/>
    <n v="29"/>
    <n v="3"/>
    <s v="LG Listening Post"/>
  </r>
  <r>
    <d v="2026-09-12T22:47:38"/>
    <x v="5"/>
    <s v="DL-CS-922209"/>
    <x v="0"/>
    <s v="Resolved"/>
    <s v="High"/>
    <x v="2"/>
    <n v="30"/>
    <n v="1"/>
    <s v="e-District Portal"/>
  </r>
  <r>
    <d v="2026-09-10T21:49:45"/>
    <x v="6"/>
    <s v="DL-CS-156958"/>
    <x v="4"/>
    <s v="Resolved"/>
    <s v="Low"/>
    <x v="1"/>
    <n v="16"/>
    <n v="5"/>
    <s v="e-District Portal"/>
  </r>
  <r>
    <d v="2026-09-19T01:41:18"/>
    <x v="3"/>
    <s v="DL-CS-182074"/>
    <x v="4"/>
    <s v="In Progress"/>
    <s v="High"/>
    <x v="4"/>
    <n v="40"/>
    <n v="2"/>
    <s v="e-District Portal"/>
  </r>
  <r>
    <d v="2026-09-03T07:57:35"/>
    <x v="0"/>
    <s v="DL-CS-635017"/>
    <x v="4"/>
    <s v="Pending"/>
    <s v="Medium"/>
    <x v="2"/>
    <n v="19"/>
    <n v="1"/>
    <s v="LG Listening Post"/>
  </r>
  <r>
    <d v="2026-09-22T13:37:41"/>
    <x v="2"/>
    <s v="DL-CS-855073"/>
    <x v="4"/>
    <s v="Resolved"/>
    <s v="Low"/>
    <x v="1"/>
    <n v="28"/>
    <n v="3"/>
    <s v="LG Listening Post"/>
  </r>
  <r>
    <d v="2026-09-14T13:15:59"/>
    <x v="5"/>
    <s v="DL-CS-276089"/>
    <x v="2"/>
    <s v="Resolved"/>
    <s v="Low"/>
    <x v="4"/>
    <n v="1"/>
    <n v="2"/>
    <s v="LG Listening Post"/>
  </r>
  <r>
    <d v="2026-09-10T11:20:12"/>
    <x v="6"/>
    <s v="DL-CS-297392"/>
    <x v="3"/>
    <s v="Rejected"/>
    <s v="High"/>
    <x v="4"/>
    <n v="32"/>
    <n v="3"/>
    <s v="LG Listening Post"/>
  </r>
  <r>
    <d v="2026-09-09T17:50:57"/>
    <x v="6"/>
    <s v="DL-CS-258823"/>
    <x v="1"/>
    <s v="Rejected"/>
    <s v="Medium"/>
    <x v="2"/>
    <n v="66"/>
    <n v="2"/>
    <s v="CSC"/>
  </r>
  <r>
    <d v="2026-09-13T05:47:20"/>
    <x v="5"/>
    <s v="DL-CS-730152"/>
    <x v="4"/>
    <s v="Resolved"/>
    <s v="Medium"/>
    <x v="3"/>
    <n v="66"/>
    <n v="3"/>
    <s v="CSC"/>
  </r>
  <r>
    <d v="2026-09-10T18:19:54"/>
    <x v="2"/>
    <s v="DL-CS-493002"/>
    <x v="0"/>
    <s v="Resolved"/>
    <s v="Medium"/>
    <x v="4"/>
    <n v="51"/>
    <n v="2"/>
    <s v="Mobile App"/>
  </r>
  <r>
    <d v="2026-09-19T05:11:09"/>
    <x v="1"/>
    <s v="DL-CS-833429"/>
    <x v="4"/>
    <s v="Resolved"/>
    <s v="High"/>
    <x v="4"/>
    <n v="66"/>
    <n v="3"/>
    <s v="LG Listening Post"/>
  </r>
  <r>
    <d v="2026-09-20T05:40:06"/>
    <x v="0"/>
    <s v="DL-CS-598863"/>
    <x v="0"/>
    <s v="Resolved"/>
    <s v="Medium"/>
    <x v="1"/>
    <n v="66"/>
    <n v="3"/>
    <s v="CSC"/>
  </r>
  <r>
    <d v="2026-09-02T07:28:39"/>
    <x v="7"/>
    <s v="DL-CS-467654"/>
    <x v="2"/>
    <s v="In Progress"/>
    <s v="High"/>
    <x v="0"/>
    <n v="66"/>
    <n v="3"/>
    <s v="e-District Portal"/>
  </r>
  <r>
    <d v="2026-09-03T14:57:17"/>
    <x v="2"/>
    <s v="DL-CS-679036"/>
    <x v="0"/>
    <s v="Resolved"/>
    <s v="Medium"/>
    <x v="2"/>
    <n v="8"/>
    <n v="5"/>
    <s v="LG Listening Post"/>
  </r>
  <r>
    <d v="2026-09-09T00:21:43"/>
    <x v="5"/>
    <s v="DL-CS-630089"/>
    <x v="1"/>
    <s v="Pending"/>
    <s v="Medium"/>
    <x v="2"/>
    <n v="29"/>
    <n v="2"/>
    <s v="Mobile App"/>
  </r>
  <r>
    <d v="2026-09-11T22:18:42"/>
    <x v="6"/>
    <s v="DL-CS-250262"/>
    <x v="3"/>
    <s v="Rejected"/>
    <s v="Medium"/>
    <x v="3"/>
    <n v="55"/>
    <n v="3"/>
    <s v="Mobile App"/>
  </r>
  <r>
    <d v="2026-09-22T20:37:23"/>
    <x v="5"/>
    <s v="DL-CS-542905"/>
    <x v="0"/>
    <s v="Resolved"/>
    <s v="Medium"/>
    <x v="3"/>
    <n v="29"/>
    <n v="3"/>
    <s v="Mobile App"/>
  </r>
  <r>
    <d v="2026-09-16T03:44:19"/>
    <x v="2"/>
    <s v="DL-CS-335362"/>
    <x v="0"/>
    <s v="In Progress"/>
    <s v="High"/>
    <x v="2"/>
    <n v="6"/>
    <n v="3"/>
    <s v="e-District Portal"/>
  </r>
  <r>
    <d v="2026-09-20T16:09:39"/>
    <x v="0"/>
    <s v="DL-CS-544209"/>
    <x v="3"/>
    <s v="Resolved"/>
    <s v="Medium"/>
    <x v="3"/>
    <n v="5"/>
    <n v="3"/>
    <s v="CSC"/>
  </r>
  <r>
    <d v="2026-09-20T23:09:21"/>
    <x v="7"/>
    <s v="DL-CS-653880"/>
    <x v="1"/>
    <s v="Resolved"/>
    <s v="Medium"/>
    <x v="1"/>
    <n v="34"/>
    <n v="1"/>
    <s v="e-District Portal"/>
  </r>
  <r>
    <d v="2026-09-24T21:35:17"/>
    <x v="7"/>
    <s v="DL-CS-897079"/>
    <x v="4"/>
    <s v="In Progress"/>
    <s v="High"/>
    <x v="2"/>
    <n v="55"/>
    <n v="5"/>
    <s v="LG Listening Post"/>
  </r>
  <r>
    <d v="2026-09-12T01:48:33"/>
    <x v="6"/>
    <s v="DL-CS-764076"/>
    <x v="0"/>
    <s v="Pending"/>
    <s v="Medium"/>
    <x v="3"/>
    <n v="32"/>
    <n v="5"/>
    <s v="Mobile App"/>
  </r>
  <r>
    <d v="2026-09-12T12:18:05"/>
    <x v="3"/>
    <s v="DL-CS-319963"/>
    <x v="3"/>
    <s v="Resolved"/>
    <s v="Medium"/>
    <x v="2"/>
    <n v="20"/>
    <n v="3"/>
    <s v="e-District Portal"/>
  </r>
  <r>
    <d v="2026-09-29T17:00:18"/>
    <x v="5"/>
    <s v="DL-CS-580761"/>
    <x v="2"/>
    <s v="Resolved"/>
    <s v="Urgent"/>
    <x v="0"/>
    <n v="29"/>
    <n v="3"/>
    <s v="e-District Portal"/>
  </r>
  <r>
    <d v="2026-09-06T12:54:16"/>
    <x v="7"/>
    <s v="DL-CS-348710"/>
    <x v="3"/>
    <s v="Resolved"/>
    <s v="Medium"/>
    <x v="4"/>
    <n v="8"/>
    <n v="4"/>
    <s v="CSC"/>
  </r>
  <r>
    <d v="2026-09-04T11:56:23"/>
    <x v="2"/>
    <s v="DL-CS-320984"/>
    <x v="2"/>
    <s v="Resolved"/>
    <s v="Low"/>
    <x v="2"/>
    <n v="65"/>
    <n v="1"/>
    <s v="CSC"/>
  </r>
  <r>
    <d v="2026-09-18T18:41:36"/>
    <x v="7"/>
    <s v="DL-CS-997059"/>
    <x v="1"/>
    <s v="Resolved"/>
    <s v="Urgent"/>
    <x v="4"/>
    <n v="57"/>
    <n v="2"/>
    <s v="Mobile App"/>
  </r>
  <r>
    <d v="2026-09-29T10:00:36"/>
    <x v="4"/>
    <s v="DL-CS-956748"/>
    <x v="4"/>
    <s v="Resolved"/>
    <s v="Medium"/>
    <x v="3"/>
    <n v="67"/>
    <n v="1"/>
    <s v="e-District Portal"/>
  </r>
  <r>
    <d v="2026-09-05T05:25:38"/>
    <x v="7"/>
    <s v="DL-CS-882355"/>
    <x v="3"/>
    <s v="Resolved"/>
    <s v="Medium"/>
    <x v="4"/>
    <n v="20"/>
    <n v="3"/>
    <s v="e-District Portal"/>
  </r>
  <r>
    <d v="2026-09-03T18:27:08"/>
    <x v="5"/>
    <s v="DL-CS-364512"/>
    <x v="0"/>
    <s v="Resolved"/>
    <s v="Low"/>
    <x v="2"/>
    <n v="29"/>
    <n v="3"/>
    <s v="CSC"/>
  </r>
  <r>
    <d v="2026-09-21T20:08:27"/>
    <x v="0"/>
    <s v="DL-CS-701863"/>
    <x v="1"/>
    <s v="Resolved"/>
    <s v="High"/>
    <x v="0"/>
    <n v="67"/>
    <n v="1"/>
    <s v="e-District Portal"/>
  </r>
  <r>
    <d v="2026-09-13T12:47:02"/>
    <x v="1"/>
    <s v="DL-CS-368799"/>
    <x v="3"/>
    <s v="Pending"/>
    <s v="Medium"/>
    <x v="3"/>
    <n v="20"/>
    <n v="3"/>
    <s v="e-District Portal"/>
  </r>
  <r>
    <d v="2026-09-17T14:42:49"/>
    <x v="6"/>
    <s v="DL-CS-337549"/>
    <x v="0"/>
    <s v="Pending"/>
    <s v="Medium"/>
    <x v="2"/>
    <n v="20"/>
    <n v="3"/>
    <s v="e-District Portal"/>
  </r>
  <r>
    <d v="2026-09-26T05:03:55"/>
    <x v="6"/>
    <s v="DL-CS-694319"/>
    <x v="3"/>
    <s v="Resolved"/>
    <s v="High"/>
    <x v="3"/>
    <n v="29"/>
    <n v="3"/>
    <s v="CSC"/>
  </r>
  <r>
    <d v="2026-09-01T17:29:15"/>
    <x v="5"/>
    <s v="DL-CS-584299"/>
    <x v="2"/>
    <s v="Resolved"/>
    <s v="High"/>
    <x v="1"/>
    <n v="20"/>
    <n v="3"/>
    <s v="Mobile App"/>
  </r>
  <r>
    <d v="2026-09-19T08:41:00"/>
    <x v="2"/>
    <s v="DL-CS-712210"/>
    <x v="3"/>
    <s v="Resolved"/>
    <s v="Low"/>
    <x v="4"/>
    <n v="32"/>
    <n v="4"/>
    <s v="LG Listening Post"/>
  </r>
  <r>
    <d v="2026-09-18T01:12:22"/>
    <x v="0"/>
    <s v="DL-CS-548982"/>
    <x v="3"/>
    <s v="In Progress"/>
    <s v="Medium"/>
    <x v="1"/>
    <n v="46"/>
    <n v="2"/>
    <s v="Mobile App"/>
  </r>
  <r>
    <d v="2026-09-11T15:19:00"/>
    <x v="0"/>
    <s v="DL-CS-224046"/>
    <x v="3"/>
    <s v="Pending"/>
    <s v="Medium"/>
    <x v="2"/>
    <n v="16"/>
    <n v="5"/>
    <s v="LG Listening Post"/>
  </r>
  <r>
    <d v="2026-09-21T09:38:54"/>
    <x v="0"/>
    <s v="DL-CS-506619"/>
    <x v="1"/>
    <s v="Pending"/>
    <s v="High"/>
    <x v="0"/>
    <n v="20"/>
    <n v="3"/>
    <s v="e-District Portal"/>
  </r>
  <r>
    <d v="2026-09-15T06:45:14"/>
    <x v="0"/>
    <s v="DL-CS-132097"/>
    <x v="3"/>
    <s v="In Progress"/>
    <s v="Low"/>
    <x v="3"/>
    <n v="37"/>
    <n v="1"/>
    <s v="Mobile App"/>
  </r>
  <r>
    <d v="2026-09-26T01:34:04"/>
    <x v="6"/>
    <s v="DL-CS-766326"/>
    <x v="0"/>
    <s v="Resolved"/>
    <s v="Medium"/>
    <x v="4"/>
    <n v="54"/>
    <n v="5"/>
    <s v="LG Listening Post"/>
  </r>
  <r>
    <d v="2026-09-14T23:45:32"/>
    <x v="5"/>
    <s v="DL-CS-749150"/>
    <x v="2"/>
    <s v="In Progress"/>
    <s v="High"/>
    <x v="3"/>
    <n v="29"/>
    <n v="3"/>
    <s v="CSC"/>
  </r>
  <r>
    <d v="2026-09-25T15:04:31"/>
    <x v="3"/>
    <s v="DL-CS-330229"/>
    <x v="2"/>
    <s v="Resolved"/>
    <s v="High"/>
    <x v="2"/>
    <n v="55"/>
    <n v="1"/>
    <s v="CSC"/>
  </r>
  <r>
    <d v="2026-09-15T03:15:23"/>
    <x v="3"/>
    <s v="DL-CS-218834"/>
    <x v="3"/>
    <s v="Resolved"/>
    <s v="Medium"/>
    <x v="3"/>
    <n v="20"/>
    <n v="3"/>
    <s v="Mobile App"/>
  </r>
  <r>
    <d v="2026-09-05T12:25:20"/>
    <x v="5"/>
    <s v="DL-CS-193848"/>
    <x v="1"/>
    <s v="In Progress"/>
    <s v="High"/>
    <x v="4"/>
    <n v="7"/>
    <n v="4"/>
    <s v="Mobile App"/>
  </r>
  <r>
    <d v="2026-09-02T17:58:11"/>
    <x v="0"/>
    <s v="DL-CS-152921"/>
    <x v="1"/>
    <s v="Resolved"/>
    <s v="Low"/>
    <x v="2"/>
    <n v="7"/>
    <n v="4"/>
    <s v="e-District Portal"/>
  </r>
  <r>
    <d v="2026-09-06T02:24:43"/>
    <x v="5"/>
    <s v="DL-CS-805086"/>
    <x v="0"/>
    <s v="Resolved"/>
    <s v="High"/>
    <x v="3"/>
    <n v="20"/>
    <n v="3"/>
    <s v="Mobile App"/>
  </r>
  <r>
    <d v="2026-09-18T08:12:04"/>
    <x v="3"/>
    <s v="DL-CS-750429"/>
    <x v="3"/>
    <s v="In Progress"/>
    <s v="Low"/>
    <x v="0"/>
    <n v="20"/>
    <n v="3"/>
    <s v="e-District Portal"/>
  </r>
  <r>
    <d v="2026-09-07T02:53:40"/>
    <x v="0"/>
    <s v="DL-CS-805660"/>
    <x v="2"/>
    <s v="Resolved"/>
    <s v="Medium"/>
    <x v="2"/>
    <n v="19"/>
    <n v="5"/>
    <s v="e-District Portal"/>
  </r>
  <r>
    <d v="2026-09-28T13:01:30"/>
    <x v="1"/>
    <s v="DL-CS-384821"/>
    <x v="1"/>
    <s v="Resolved"/>
    <s v="High"/>
    <x v="2"/>
    <n v="19"/>
    <n v="5"/>
    <s v="CSC"/>
  </r>
  <r>
    <d v="2026-09-14T02:46:26"/>
    <x v="5"/>
    <s v="DL-CS-155609"/>
    <x v="3"/>
    <s v="Resolved"/>
    <s v="Low"/>
    <x v="0"/>
    <n v="36"/>
    <n v="5"/>
    <s v="CSC"/>
  </r>
  <r>
    <d v="2026-09-20T19:39:30"/>
    <x v="7"/>
    <s v="DL-CS-327897"/>
    <x v="1"/>
    <s v="Pending"/>
    <s v="Medium"/>
    <x v="1"/>
    <n v="29"/>
    <n v="3"/>
    <s v="LG Listening Post"/>
  </r>
  <r>
    <d v="2026-09-08T10:22:19"/>
    <x v="5"/>
    <s v="DL-CS-131024"/>
    <x v="1"/>
    <s v="Resolved"/>
    <s v="High"/>
    <x v="4"/>
    <n v="4"/>
    <n v="3"/>
    <s v="CSC"/>
  </r>
  <r>
    <d v="2026-09-19T12:10:51"/>
    <x v="3"/>
    <s v="DL-CS-170313"/>
    <x v="2"/>
    <s v="Resolved"/>
    <s v="High"/>
    <x v="1"/>
    <n v="36"/>
    <n v="3"/>
    <s v="CSC"/>
  </r>
  <r>
    <d v="2026-09-24T14:35:35"/>
    <x v="5"/>
    <s v="DL-CS-489957"/>
    <x v="4"/>
    <s v="In Progress"/>
    <s v="Medium"/>
    <x v="3"/>
    <n v="1"/>
    <n v="5"/>
    <s v="Mobile App"/>
  </r>
  <r>
    <d v="2026-09-06T23:23:49"/>
    <x v="4"/>
    <s v="DL-CS-284078"/>
    <x v="0"/>
    <s v="Resolved"/>
    <s v="Medium"/>
    <x v="0"/>
    <n v="36"/>
    <n v="3"/>
    <s v="CSC"/>
  </r>
  <r>
    <d v="2026-09-18T04:42:13"/>
    <x v="3"/>
    <s v="DL-CS-457429"/>
    <x v="0"/>
    <s v="Rejected"/>
    <s v="Medium"/>
    <x v="1"/>
    <n v="69"/>
    <n v="1"/>
    <s v="LG Listening Post"/>
  </r>
  <r>
    <d v="2026-09-17T11:12:58"/>
    <x v="7"/>
    <s v="DL-CS-561243"/>
    <x v="2"/>
    <s v="Resolved"/>
    <s v="Medium"/>
    <x v="2"/>
    <n v="20"/>
    <n v="4"/>
    <s v="Mobile App"/>
  </r>
  <r>
    <d v="2026-09-04T18:56:05"/>
    <x v="3"/>
    <s v="DL-CS-213632"/>
    <x v="1"/>
    <s v="In Progress"/>
    <s v="Medium"/>
    <x v="3"/>
    <n v="11"/>
    <n v="4"/>
    <s v="LG Listening Post"/>
  </r>
  <r>
    <d v="2026-09-21T06:09:03"/>
    <x v="1"/>
    <s v="DL-CS-351451"/>
    <x v="3"/>
    <s v="Resolved"/>
    <s v="Low"/>
    <x v="3"/>
    <n v="29"/>
    <n v="3"/>
    <s v="CSC"/>
  </r>
  <r>
    <d v="2026-09-15T13:44:55"/>
    <x v="7"/>
    <s v="DL-CS-103051"/>
    <x v="1"/>
    <s v="In Progress"/>
    <s v="Urgent"/>
    <x v="1"/>
    <n v="67"/>
    <n v="4"/>
    <s v="LG Listening Post"/>
  </r>
  <r>
    <d v="2026-09-17T04:13:16"/>
    <x v="5"/>
    <s v="DL-CS-804107"/>
    <x v="2"/>
    <s v="Pending"/>
    <s v="Medium"/>
    <x v="1"/>
    <n v="12"/>
    <n v="5"/>
    <s v="Mobile App"/>
  </r>
  <r>
    <d v="2026-09-01T06:59:42"/>
    <x v="4"/>
    <s v="DL-CS-476836"/>
    <x v="0"/>
    <s v="Pending"/>
    <s v="Medium"/>
    <x v="0"/>
    <n v="20"/>
    <n v="5"/>
    <s v="e-District Portal"/>
  </r>
  <r>
    <d v="2026-09-12T05:18:24"/>
    <x v="6"/>
    <s v="DL-CS-711523"/>
    <x v="1"/>
    <s v="Pending"/>
    <s v="Medium"/>
    <x v="4"/>
    <n v="5"/>
    <n v="3"/>
    <s v="LG Listening Post"/>
  </r>
  <r>
    <d v="2026-09-07T16:53:04"/>
    <x v="6"/>
    <s v="DL-CS-821772"/>
    <x v="0"/>
    <s v="In Progress"/>
    <s v="Urgent"/>
    <x v="1"/>
    <n v="22"/>
    <n v="3"/>
    <s v="LG Listening Post"/>
  </r>
  <r>
    <d v="2026-09-28T06:01:49"/>
    <x v="3"/>
    <s v="DL-CS-289407"/>
    <x v="3"/>
    <s v="Pending"/>
    <s v="Low"/>
    <x v="1"/>
    <n v="36"/>
    <n v="3"/>
    <s v="Mobile App"/>
  </r>
  <r>
    <d v="2026-09-28T20:01:12"/>
    <x v="6"/>
    <s v="DL-CS-549395"/>
    <x v="0"/>
    <s v="Resolved"/>
    <s v="Medium"/>
    <x v="2"/>
    <n v="9"/>
    <n v="3"/>
    <s v="Mobile App"/>
  </r>
  <r>
    <d v="2026-09-13T09:17:11"/>
    <x v="3"/>
    <s v="DL-CS-562894"/>
    <x v="0"/>
    <s v="In Progress"/>
    <s v="Medium"/>
    <x v="3"/>
    <n v="22"/>
    <n v="3"/>
    <s v="LG Listening Post"/>
  </r>
  <r>
    <d v="2026-09-24T11:05:44"/>
    <x v="2"/>
    <s v="DL-CS-311810"/>
    <x v="4"/>
    <s v="In Progress"/>
    <s v="Medium"/>
    <x v="4"/>
    <n v="29"/>
    <n v="3"/>
    <s v="CSC"/>
  </r>
  <r>
    <d v="2026-09-06T05:54:34"/>
    <x v="7"/>
    <s v="DL-CS-827975"/>
    <x v="4"/>
    <s v="Resolved"/>
    <s v="Low"/>
    <x v="2"/>
    <n v="9"/>
    <n v="3"/>
    <s v="LG Listening Post"/>
  </r>
  <r>
    <d v="2026-09-28T16:31:21"/>
    <x v="6"/>
    <s v="DL-CS-173523"/>
    <x v="4"/>
    <s v="Resolved"/>
    <s v="High"/>
    <x v="0"/>
    <n v="9"/>
    <n v="3"/>
    <s v="Mobile App"/>
  </r>
  <r>
    <d v="2026-09-09T21:20:48"/>
    <x v="1"/>
    <s v="DL-CS-860463"/>
    <x v="0"/>
    <s v="Resolved"/>
    <s v="Urgent"/>
    <x v="0"/>
    <n v="29"/>
    <n v="3"/>
    <s v="e-District Portal"/>
  </r>
  <r>
    <d v="2026-09-04T04:56:41"/>
    <x v="1"/>
    <s v="DL-CS-194476"/>
    <x v="2"/>
    <s v="In Progress"/>
    <s v="Medium"/>
    <x v="1"/>
    <n v="14"/>
    <n v="2"/>
    <s v="e-District Portal"/>
  </r>
  <r>
    <d v="2026-09-21T13:08:45"/>
    <x v="0"/>
    <s v="DL-CS-333841"/>
    <x v="0"/>
    <s v="In Progress"/>
    <s v="Medium"/>
    <x v="1"/>
    <n v="22"/>
    <n v="3"/>
    <s v="CSC"/>
  </r>
  <r>
    <d v="2026-09-15T17:14:46"/>
    <x v="6"/>
    <s v="DL-CS-903451"/>
    <x v="2"/>
    <s v="Pending"/>
    <s v="Urgent"/>
    <x v="0"/>
    <n v="22"/>
    <n v="3"/>
    <s v="LG Listening Post"/>
  </r>
  <r>
    <d v="2026-09-05T19:25:02"/>
    <x v="0"/>
    <s v="DL-CS-970045"/>
    <x v="2"/>
    <s v="In Progress"/>
    <s v="High"/>
    <x v="1"/>
    <n v="66"/>
    <n v="5"/>
    <s v="e-District Portal"/>
  </r>
  <r>
    <d v="2026-09-02T14:28:21"/>
    <x v="4"/>
    <s v="DL-CS-322866"/>
    <x v="4"/>
    <s v="In Progress"/>
    <s v="Low"/>
    <x v="4"/>
    <n v="9"/>
    <n v="3"/>
    <s v="LG Listening Post"/>
  </r>
  <r>
    <d v="2026-09-29T06:30:45"/>
    <x v="0"/>
    <s v="DL-CS-186672"/>
    <x v="1"/>
    <s v="In Progress"/>
    <s v="Medium"/>
    <x v="1"/>
    <n v="22"/>
    <n v="1"/>
    <s v="Mobile App"/>
  </r>
  <r>
    <d v="2026-09-24T04:06:02"/>
    <x v="3"/>
    <s v="DL-CS-698135"/>
    <x v="3"/>
    <s v="Pending"/>
    <s v="Medium"/>
    <x v="3"/>
    <n v="58"/>
    <n v="3"/>
    <s v="e-District Portal"/>
  </r>
  <r>
    <d v="2026-09-01T20:59:06"/>
    <x v="4"/>
    <s v="DL-CS-444894"/>
    <x v="4"/>
    <s v="Pending"/>
    <s v="Medium"/>
    <x v="1"/>
    <n v="61"/>
    <n v="3"/>
    <s v="CSC"/>
  </r>
  <r>
    <d v="2026-09-04T22:25:56"/>
    <x v="1"/>
    <s v="DL-CS-834994"/>
    <x v="4"/>
    <s v="Resolved"/>
    <s v="High"/>
    <x v="2"/>
    <n v="58"/>
    <n v="2"/>
    <s v="Mobile App"/>
  </r>
  <r>
    <d v="2026-09-18T11:41:55"/>
    <x v="0"/>
    <s v="DL-CS-128251"/>
    <x v="1"/>
    <s v="In Progress"/>
    <s v="Urgent"/>
    <x v="4"/>
    <n v="29"/>
    <n v="1"/>
    <s v="CSC"/>
  </r>
  <r>
    <d v="2026-09-01T13:59:24"/>
    <x v="4"/>
    <s v="DL-CS-727769"/>
    <x v="3"/>
    <s v="In Progress"/>
    <s v="Urgent"/>
    <x v="2"/>
    <n v="37"/>
    <n v="5"/>
    <s v="Mobile App"/>
  </r>
  <r>
    <d v="2026-09-05T15:55:11"/>
    <x v="3"/>
    <s v="DL-CS-474710"/>
    <x v="0"/>
    <s v="Resolved"/>
    <s v="Medium"/>
    <x v="2"/>
    <n v="70"/>
    <n v="3"/>
    <s v="e-District Portal"/>
  </r>
  <r>
    <d v="2026-09-21T16:38:36"/>
    <x v="2"/>
    <s v="DL-CS-650233"/>
    <x v="0"/>
    <s v="Resolved"/>
    <s v="Low"/>
    <x v="3"/>
    <n v="18"/>
    <n v="2"/>
    <s v="CSC"/>
  </r>
  <r>
    <d v="2026-09-22T03:08:08"/>
    <x v="7"/>
    <s v="DL-CS-977284"/>
    <x v="4"/>
    <s v="Pending"/>
    <s v="Urgent"/>
    <x v="4"/>
    <n v="20"/>
    <n v="3"/>
    <s v="CSC"/>
  </r>
  <r>
    <d v="2026-09-16T21:13:34"/>
    <x v="0"/>
    <s v="DL-CS-132217"/>
    <x v="3"/>
    <s v="Resolved"/>
    <s v="High"/>
    <x v="4"/>
    <n v="58"/>
    <n v="3"/>
    <s v="Mobile App"/>
  </r>
  <r>
    <d v="2026-09-21T23:38:17"/>
    <x v="4"/>
    <s v="DL-CS-108308"/>
    <x v="4"/>
    <s v="Resolved"/>
    <s v="Low"/>
    <x v="4"/>
    <n v="38"/>
    <n v="2"/>
    <s v="CSC"/>
  </r>
  <r>
    <d v="2026-09-02T10:58:30"/>
    <x v="6"/>
    <s v="DL-CS-368093"/>
    <x v="2"/>
    <s v="Pending"/>
    <s v="Urgent"/>
    <x v="4"/>
    <n v="34"/>
    <n v="1"/>
    <s v="Mobile App"/>
  </r>
  <r>
    <d v="2026-09-10T00:50:39"/>
    <x v="7"/>
    <s v="DL-CS-283062"/>
    <x v="4"/>
    <s v="Resolved"/>
    <s v="High"/>
    <x v="4"/>
    <n v="20"/>
    <n v="3"/>
    <s v="Mobile App"/>
  </r>
  <r>
    <d v="2026-09-17T07:43:07"/>
    <x v="0"/>
    <s v="DL-CS-494366"/>
    <x v="4"/>
    <s v="Resolved"/>
    <s v="Medium"/>
    <x v="3"/>
    <n v="37"/>
    <n v="3"/>
    <s v="Mobile App"/>
  </r>
  <r>
    <d v="2026-09-22T06:37:59"/>
    <x v="1"/>
    <s v="DL-CS-844840"/>
    <x v="0"/>
    <s v="Pending"/>
    <s v="Medium"/>
    <x v="1"/>
    <n v="61"/>
    <n v="3"/>
    <s v="Mobile App"/>
  </r>
  <r>
    <d v="2026-09-25T04:34:58"/>
    <x v="1"/>
    <s v="DL-CS-200235"/>
    <x v="0"/>
    <s v="In Progress"/>
    <s v="Medium"/>
    <x v="2"/>
    <n v="27"/>
    <n v="5"/>
    <s v="e-District Portal"/>
  </r>
  <r>
    <d v="2026-09-01T00:00:00"/>
    <x v="5"/>
    <s v="DL-CS-174740"/>
    <x v="0"/>
    <s v="Resolved"/>
    <s v="Low"/>
    <x v="4"/>
    <n v="58"/>
    <n v="3"/>
    <s v="Mobile App"/>
  </r>
  <r>
    <d v="2026-09-29T20:30:09"/>
    <x v="7"/>
    <s v="DL-CS-478496"/>
    <x v="2"/>
    <s v="Resolved"/>
    <s v="Medium"/>
    <x v="1"/>
    <n v="31"/>
    <n v="1"/>
    <s v="LG Listening Post"/>
  </r>
  <r>
    <d v="2026-09-23T07:06:56"/>
    <x v="6"/>
    <s v="DL-CS-953049"/>
    <x v="0"/>
    <s v="In Progress"/>
    <s v="High"/>
    <x v="1"/>
    <n v="6"/>
    <n v="4"/>
    <s v="CSC"/>
  </r>
  <r>
    <d v="2026-09-11T04:49:27"/>
    <x v="6"/>
    <s v="DL-CS-850201"/>
    <x v="3"/>
    <s v="In Progress"/>
    <s v="Low"/>
    <x v="2"/>
    <n v="40"/>
    <n v="5"/>
    <s v="LG Listening Post"/>
  </r>
  <r>
    <d v="2026-09-18T22:11:27"/>
    <x v="3"/>
    <s v="DL-CS-903328"/>
    <x v="1"/>
    <s v="In Progress"/>
    <s v="Medium"/>
    <x v="3"/>
    <n v="12"/>
    <n v="2"/>
    <s v="e-District Portal"/>
  </r>
  <r>
    <d v="2026-09-10T07:50:21"/>
    <x v="2"/>
    <s v="DL-CS-277247"/>
    <x v="3"/>
    <s v="Resolved"/>
    <s v="Medium"/>
    <x v="0"/>
    <n v="53"/>
    <n v="3"/>
    <s v="LG Listening Post"/>
  </r>
  <r>
    <d v="2026-09-07T09:53:22"/>
    <x v="4"/>
    <s v="DL-CS-763165"/>
    <x v="3"/>
    <s v="Resolved"/>
    <s v="Medium"/>
    <x v="0"/>
    <n v="20"/>
    <n v="3"/>
    <s v="CSC"/>
  </r>
  <r>
    <d v="2026-09-24T18:05:26"/>
    <x v="7"/>
    <s v="DL-CS-629525"/>
    <x v="0"/>
    <s v="In Progress"/>
    <s v="Urgent"/>
    <x v="1"/>
    <n v="10"/>
    <n v="3"/>
    <s v="LG Listening Post"/>
  </r>
  <r>
    <d v="2026-09-05T01:55:47"/>
    <x v="0"/>
    <s v="DL-CS-120056"/>
    <x v="1"/>
    <s v="Resolved"/>
    <s v="Medium"/>
    <x v="2"/>
    <n v="45"/>
    <n v="3"/>
    <s v="e-District Portal"/>
  </r>
  <r>
    <d v="2026-09-06T19:53:58"/>
    <x v="1"/>
    <s v="DL-CS-276615"/>
    <x v="1"/>
    <s v="Resolved"/>
    <s v="Medium"/>
    <x v="0"/>
    <n v="17"/>
    <n v="4"/>
    <s v="Mobile App"/>
  </r>
  <r>
    <d v="2026-09-16T17:43:43"/>
    <x v="1"/>
    <s v="DL-CS-287628"/>
    <x v="1"/>
    <s v="Pending"/>
    <s v="High"/>
    <x v="1"/>
    <n v="58"/>
    <n v="3"/>
    <s v="LG Listening Post"/>
  </r>
  <r>
    <d v="2026-09-23T14:06:38"/>
    <x v="0"/>
    <s v="DL-CS-738836"/>
    <x v="2"/>
    <s v="In Progress"/>
    <s v="Medium"/>
    <x v="3"/>
    <n v="62"/>
    <n v="1"/>
    <s v="e-District Portal"/>
  </r>
  <r>
    <d v="2026-09-23T17:36:29"/>
    <x v="3"/>
    <s v="DL-CS-473632"/>
    <x v="0"/>
    <s v="Resolved"/>
    <s v="Medium"/>
    <x v="0"/>
    <n v="58"/>
    <n v="3"/>
    <s v="e-District Portal"/>
  </r>
  <r>
    <d v="2026-09-04T15:26:14"/>
    <x v="5"/>
    <s v="DL-CS-234415"/>
    <x v="1"/>
    <s v="Resolved"/>
    <s v="Medium"/>
    <x v="1"/>
    <n v="58"/>
    <n v="3"/>
    <s v="CSC"/>
  </r>
  <r>
    <d v="2026-09-04T08:26:32"/>
    <x v="2"/>
    <s v="DL-CS-506716"/>
    <x v="2"/>
    <s v="Resolved"/>
    <s v="Low"/>
    <x v="1"/>
    <n v="2"/>
    <n v="2"/>
    <s v="CSC"/>
  </r>
  <r>
    <d v="2026-09-27T19:32:16"/>
    <x v="4"/>
    <s v="DL-CS-546438"/>
    <x v="4"/>
    <s v="Resolved"/>
    <s v="Low"/>
    <x v="4"/>
    <n v="20"/>
    <n v="3"/>
    <s v="LG Listening Post"/>
  </r>
  <r>
    <d v="2026-09-22T10:07:50"/>
    <x v="1"/>
    <s v="DL-CS-653663"/>
    <x v="4"/>
    <s v="Pending"/>
    <s v="Medium"/>
    <x v="3"/>
    <n v="61"/>
    <n v="3"/>
    <s v="Mobile App"/>
  </r>
  <r>
    <d v="2026-09-12T19:17:47"/>
    <x v="2"/>
    <s v="DL-CS-765022"/>
    <x v="2"/>
    <s v="Resolved"/>
    <s v="Medium"/>
    <x v="4"/>
    <n v="9"/>
    <n v="3"/>
    <s v="e-District Portal"/>
  </r>
  <r>
    <d v="2026-09-06T16:24:07"/>
    <x v="5"/>
    <s v="DL-CS-641252"/>
    <x v="2"/>
    <s v="Resolved"/>
    <s v="Urgent"/>
    <x v="2"/>
    <n v="61"/>
    <n v="3"/>
    <s v="LG Listening Post"/>
  </r>
  <r>
    <d v="2026-09-25T11:34:40"/>
    <x v="3"/>
    <s v="DL-CS-737717"/>
    <x v="0"/>
    <s v="In Progress"/>
    <s v="Medium"/>
    <x v="4"/>
    <n v="36"/>
    <n v="5"/>
    <s v="e-District Portal"/>
  </r>
  <r>
    <d v="2026-09-07T20:22:55"/>
    <x v="6"/>
    <s v="DL-CS-352764"/>
    <x v="0"/>
    <s v="In Progress"/>
    <s v="Medium"/>
    <x v="4"/>
    <n v="26"/>
    <n v="3"/>
    <s v="e-District Portal"/>
  </r>
  <r>
    <d v="2026-09-14T16:45:50"/>
    <x v="5"/>
    <s v="DL-CS-814998"/>
    <x v="4"/>
    <s v="In Progress"/>
    <s v="Medium"/>
    <x v="0"/>
    <n v="29"/>
    <n v="3"/>
    <s v="Mobile App"/>
  </r>
  <r>
    <d v="2026-09-23T10:36:47"/>
    <x v="5"/>
    <s v="DL-CS-566882"/>
    <x v="1"/>
    <s v="Pending"/>
    <s v="Low"/>
    <x v="1"/>
    <n v="58"/>
    <n v="3"/>
    <s v="Mobile App"/>
  </r>
  <r>
    <d v="2026-09-07T06:23:31"/>
    <x v="4"/>
    <s v="DL-CS-840427"/>
    <x v="4"/>
    <s v="In Progress"/>
    <s v="Medium"/>
    <x v="3"/>
    <n v="61"/>
    <n v="3"/>
    <s v="LG Listening Post"/>
  </r>
  <r>
    <d v="2026-09-21T02:39:12"/>
    <x v="7"/>
    <s v="DL-CS-612153"/>
    <x v="1"/>
    <s v="In Progress"/>
    <s v="Low"/>
    <x v="4"/>
    <n v="40"/>
    <n v="3"/>
    <s v="Mobile App"/>
  </r>
  <r>
    <d v="2026-09-01T10:29:33"/>
    <x v="5"/>
    <s v="DL-CS-167215"/>
    <x v="1"/>
    <s v="In Progress"/>
    <s v="Urgent"/>
    <x v="3"/>
    <n v="11"/>
    <n v="5"/>
    <s v="Mobile App"/>
  </r>
  <r>
    <d v="2026-09-16T07:14:10"/>
    <x v="1"/>
    <s v="DL-CS-955474"/>
    <x v="0"/>
    <s v="Pending"/>
    <s v="Low"/>
    <x v="4"/>
    <n v="36"/>
    <n v="2"/>
    <s v="LG Listening Post"/>
  </r>
  <r>
    <d v="2026-09-08T17:22:01"/>
    <x v="5"/>
    <s v="DL-CS-244356"/>
    <x v="3"/>
    <s v="Resolved"/>
    <s v="Medium"/>
    <x v="2"/>
    <n v="59"/>
    <n v="2"/>
    <s v="Mobile App"/>
  </r>
  <r>
    <d v="2026-09-20T09:09:57"/>
    <x v="3"/>
    <s v="DL-CS-303861"/>
    <x v="3"/>
    <s v="Resolved"/>
    <s v="Low"/>
    <x v="4"/>
    <n v="54"/>
    <n v="3"/>
    <s v="CSC"/>
  </r>
  <r>
    <d v="2026-09-27T05:32:52"/>
    <x v="5"/>
    <s v="DL-CS-455612"/>
    <x v="2"/>
    <s v="Resolved"/>
    <s v="Urgent"/>
    <x v="0"/>
    <n v="54"/>
    <n v="4"/>
    <s v="e-District Portal"/>
  </r>
  <r>
    <d v="2026-09-26T22:33:10"/>
    <x v="3"/>
    <s v="DL-CS-554605"/>
    <x v="0"/>
    <s v="Resolved"/>
    <s v="Medium"/>
    <x v="1"/>
    <n v="9"/>
    <n v="3"/>
    <s v="e-District Portal"/>
  </r>
  <r>
    <d v="2026-09-27T23:02:07"/>
    <x v="2"/>
    <s v="DL-CS-109435"/>
    <x v="1"/>
    <s v="Resolved"/>
    <s v="Medium"/>
    <x v="2"/>
    <n v="24"/>
    <n v="4"/>
    <s v="e-District Portal"/>
  </r>
  <r>
    <d v="2026-09-08T03:22:37"/>
    <x v="4"/>
    <s v="DL-CS-547556"/>
    <x v="3"/>
    <s v="Pending"/>
    <s v="Low"/>
    <x v="4"/>
    <n v="22"/>
    <n v="5"/>
    <s v="e-District Portal"/>
  </r>
  <r>
    <d v="2026-09-12T15:47:56"/>
    <x v="4"/>
    <s v="DL-CS-799438"/>
    <x v="1"/>
    <s v="Resolved"/>
    <s v="High"/>
    <x v="3"/>
    <n v="69"/>
    <n v="5"/>
    <s v="LG Listening Post"/>
  </r>
  <r>
    <d v="2026-09-05T22:54:52"/>
    <x v="0"/>
    <s v="DL-CS-965264"/>
    <x v="3"/>
    <s v="Resolved"/>
    <s v="Medium"/>
    <x v="2"/>
    <n v="69"/>
    <n v="3"/>
    <s v="e-District Portal"/>
  </r>
  <r>
    <d v="2026-09-02T00:28:57"/>
    <x v="0"/>
    <s v="DL-CS-675581"/>
    <x v="3"/>
    <s v="Resolved"/>
    <s v="High"/>
    <x v="2"/>
    <n v="25"/>
    <n v="3"/>
    <s v="e-District Portal"/>
  </r>
  <r>
    <d v="2026-09-17T00:43:25"/>
    <x v="1"/>
    <s v="DL-CS-178781"/>
    <x v="3"/>
    <s v="Resolved"/>
    <s v="Medium"/>
    <x v="4"/>
    <n v="20"/>
    <n v="3"/>
    <s v="e-District Portal"/>
  </r>
  <r>
    <d v="2026-09-14T06:16:17"/>
    <x v="2"/>
    <s v="DL-CS-291475"/>
    <x v="0"/>
    <s v="Pending"/>
    <s v="Low"/>
    <x v="2"/>
    <n v="20"/>
    <n v="5"/>
    <s v="e-District Portal"/>
  </r>
  <r>
    <d v="2026-09-13T02:17:29"/>
    <x v="6"/>
    <s v="DL-CS-260196"/>
    <x v="4"/>
    <s v="In Progress"/>
    <s v="Low"/>
    <x v="3"/>
    <n v="62"/>
    <n v="3"/>
    <s v="CSC"/>
  </r>
  <r>
    <d v="2026-09-26T15:33:28"/>
    <x v="2"/>
    <s v="DL-CS-326507"/>
    <x v="1"/>
    <s v="In Progress"/>
    <s v="Medium"/>
    <x v="2"/>
    <n v="58"/>
    <n v="3"/>
    <s v="e-District Portal"/>
  </r>
  <r>
    <d v="2026-09-27T09:02:43"/>
    <x v="2"/>
    <s v="DL-CS-406063"/>
    <x v="0"/>
    <s v="Resolved"/>
    <s v="Medium"/>
    <x v="3"/>
    <n v="12"/>
    <n v="3"/>
    <s v="CSC"/>
  </r>
  <r>
    <d v="2026-09-13T23:16:35"/>
    <x v="4"/>
    <s v="DL-CS-864121"/>
    <x v="0"/>
    <s v="Resolved"/>
    <s v="Low"/>
    <x v="4"/>
    <n v="40"/>
    <n v="2"/>
    <s v="LG Listening Post"/>
  </r>
  <r>
    <d v="2026-09-02T03:58:48"/>
    <x v="4"/>
    <s v="DL-CS-876665"/>
    <x v="0"/>
    <s v="In Progress"/>
    <s v="High"/>
    <x v="1"/>
    <n v="12"/>
    <n v="3"/>
    <s v="Mobile App"/>
  </r>
  <r>
    <d v="2026-09-02T21:28:02"/>
    <x v="5"/>
    <s v="DL-CS-790607"/>
    <x v="0"/>
    <s v="Rejected"/>
    <s v="Medium"/>
    <x v="2"/>
    <n v="1"/>
    <n v="5"/>
    <s v="e-District Portal"/>
  </r>
  <r>
    <d v="2026-09-09T14:21:06"/>
    <x v="7"/>
    <s v="DL-CS-221172"/>
    <x v="0"/>
    <s v="Resolved"/>
    <s v="Medium"/>
    <x v="1"/>
    <n v="61"/>
    <n v="5"/>
    <s v="Mobile App"/>
  </r>
  <r>
    <d v="2026-09-25T22:04:13"/>
    <x v="7"/>
    <s v="DL-CS-456902"/>
    <x v="2"/>
    <s v="In Progress"/>
    <s v="Medium"/>
    <x v="3"/>
    <n v="58"/>
    <n v="3"/>
    <s v="Mobile App"/>
  </r>
  <r>
    <d v="2026-09-20T02:10:15"/>
    <x v="4"/>
    <s v="DL-CS-584963"/>
    <x v="1"/>
    <s v="Pending"/>
    <s v="Medium"/>
    <x v="2"/>
    <n v="61"/>
    <n v="3"/>
    <s v="LG Listening Post"/>
  </r>
  <r>
    <d v="2026-09-03T11:27:26"/>
    <x v="7"/>
    <s v="DL-CS-555968"/>
    <x v="0"/>
    <s v="In Progress"/>
    <s v="Medium"/>
    <x v="0"/>
    <n v="54"/>
    <n v="3"/>
    <s v="Mobile App"/>
  </r>
  <r>
    <d v="2026-09-11T11:49:09"/>
    <x v="3"/>
    <s v="DL-CS-418717"/>
    <x v="1"/>
    <s v="In Progress"/>
    <s v="Low"/>
    <x v="1"/>
    <n v="12"/>
    <n v="3"/>
    <s v="CSC"/>
  </r>
  <r>
    <d v="2026-09-26T12:03:37"/>
    <x v="0"/>
    <s v="DL-CS-159101"/>
    <x v="2"/>
    <s v="In Progress"/>
    <s v="Low"/>
    <x v="2"/>
    <n v="54"/>
    <n v="3"/>
    <s v="Mobile App"/>
  </r>
  <r>
    <d v="2026-09-20T12:39:48"/>
    <x v="5"/>
    <s v="DL-CS-595972"/>
    <x v="2"/>
    <s v="In Progress"/>
    <s v="High"/>
    <x v="1"/>
    <n v="3"/>
    <n v="3"/>
    <s v="Mobile App"/>
  </r>
  <r>
    <d v="2026-09-25T08:04:49"/>
    <x v="0"/>
    <s v="DL-CS-388790"/>
    <x v="1"/>
    <s v="In Progress"/>
    <s v="Urgent"/>
    <x v="2"/>
    <n v="44"/>
    <n v="1"/>
    <s v="Mobile App"/>
  </r>
  <r>
    <d v="2026-09-27T16:02:25"/>
    <x v="0"/>
    <s v="DL-CS-990617"/>
    <x v="3"/>
    <s v="In Progress"/>
    <s v="Medium"/>
    <x v="4"/>
    <n v="61"/>
    <n v="3"/>
    <s v="e-District Portal"/>
  </r>
  <r>
    <d v="2026-09-10T04:20:30"/>
    <x v="6"/>
    <s v="DL-CS-647337"/>
    <x v="4"/>
    <s v="Resolved"/>
    <s v="Medium"/>
    <x v="1"/>
    <n v="12"/>
    <n v="3"/>
    <s v="e-District Portal"/>
  </r>
  <r>
    <d v="2026-09-08T20:51:52"/>
    <x v="3"/>
    <s v="DL-CS-834965"/>
    <x v="3"/>
    <s v="Pending"/>
    <s v="Medium"/>
    <x v="0"/>
    <n v="54"/>
    <n v="3"/>
    <s v="CSC"/>
  </r>
  <r>
    <d v="2026-09-16T14:13:52"/>
    <x v="1"/>
    <s v="DL-CS-460260"/>
    <x v="3"/>
    <s v="Resolved"/>
    <s v="Medium"/>
    <x v="0"/>
    <n v="54"/>
    <n v="3"/>
    <s v="CSC"/>
  </r>
  <r>
    <d v="2026-09-08T06:52:28"/>
    <x v="7"/>
    <s v="DL-CS-983811"/>
    <x v="3"/>
    <s v="Resolved"/>
    <s v="Low"/>
    <x v="3"/>
    <n v="59"/>
    <n v="5"/>
    <s v="e-District Portal"/>
  </r>
  <r>
    <d v="2026-09-29T13:30:27"/>
    <x v="3"/>
    <s v="DL-CS-692673"/>
    <x v="0"/>
    <s v="Rejected"/>
    <s v="Low"/>
    <x v="2"/>
    <n v="49"/>
    <n v="2"/>
    <s v="CSC"/>
  </r>
  <r>
    <d v="2026-09-09T10:51:15"/>
    <x v="3"/>
    <s v="DL-CS-750419"/>
    <x v="2"/>
    <s v="Pending"/>
    <s v="High"/>
    <x v="1"/>
    <n v="61"/>
    <n v="4"/>
    <s v="e-District Portal"/>
  </r>
  <r>
    <d v="2026-09-07T23:52:46"/>
    <x v="3"/>
    <s v="DL-CS-533374"/>
    <x v="3"/>
    <s v="In Progress"/>
    <s v="Medium"/>
    <x v="3"/>
    <n v="17"/>
    <n v="3"/>
    <s v="LG Listening Post"/>
  </r>
  <r>
    <d v="2026-09-13T19:46:44"/>
    <x v="7"/>
    <s v="DL-CS-820777"/>
    <x v="2"/>
    <s v="Rejected"/>
    <s v="Low"/>
    <x v="1"/>
    <n v="58"/>
    <n v="3"/>
    <s v="Mobile App"/>
  </r>
  <r>
    <d v="2026-09-04T01:26:50"/>
    <x v="4"/>
    <s v="DL-CS-647577"/>
    <x v="1"/>
    <s v="Resolved"/>
    <s v="Medium"/>
    <x v="2"/>
    <n v="55"/>
    <n v="5"/>
    <s v="Mobile App"/>
  </r>
  <r>
    <d v="2026-09-09T07:21:24"/>
    <x v="0"/>
    <s v="DL-CS-472370"/>
    <x v="4"/>
    <s v="Resolved"/>
    <s v="Medium"/>
    <x v="0"/>
    <n v="25"/>
    <n v="3"/>
    <s v="CSC"/>
  </r>
  <r>
    <d v="2026-09-24T07:35:53"/>
    <x v="3"/>
    <s v="DL-CS-987225"/>
    <x v="1"/>
    <s v="In Progress"/>
    <s v="Medium"/>
    <x v="4"/>
    <n v="12"/>
    <n v="5"/>
    <s v="e-District Portal"/>
  </r>
  <r>
    <d v="2026-09-28T23:31:03"/>
    <x v="4"/>
    <s v="DL-CS-371967"/>
    <x v="1"/>
    <s v="In Progress"/>
    <s v="Low"/>
    <x v="0"/>
    <n v="25"/>
    <n v="3"/>
    <s v="e-District Portal"/>
  </r>
  <r>
    <d v="2026-09-19T19:10:33"/>
    <x v="5"/>
    <s v="DL-CS-291232"/>
    <x v="0"/>
    <s v="Resolved"/>
    <s v="Low"/>
    <x v="3"/>
    <n v="25"/>
    <n v="3"/>
    <s v="CSC"/>
  </r>
  <r>
    <d v="2026-09-06T09:24:25"/>
    <x v="1"/>
    <s v="DL-CS-404119"/>
    <x v="4"/>
    <s v="Resolved"/>
    <s v="High"/>
    <x v="4"/>
    <n v="54"/>
    <n v="3"/>
    <s v="e-District Portal"/>
  </r>
  <r>
    <d v="2026-09-23T21:06:20"/>
    <x v="2"/>
    <s v="DL-CS-109540"/>
    <x v="1"/>
    <s v="Resolved"/>
    <s v="Low"/>
    <x v="3"/>
    <n v="70"/>
    <n v="2"/>
    <s v="LG Listening Post"/>
  </r>
  <r>
    <d v="2026-09-29T03:00:54"/>
    <x v="2"/>
    <s v="DL-CS-640652"/>
    <x v="1"/>
    <s v="Resolved"/>
    <s v="Medium"/>
    <x v="2"/>
    <n v="25"/>
    <n v="2"/>
    <s v="Mobile App"/>
  </r>
  <r>
    <d v="2026-09-01T03:29:51"/>
    <x v="7"/>
    <s v="DL-CS-497827"/>
    <x v="4"/>
    <s v="In Progress"/>
    <s v="Medium"/>
    <x v="4"/>
    <n v="12"/>
    <n v="3"/>
    <s v="CSC"/>
  </r>
  <r>
    <d v="2026-09-08T13:52:10"/>
    <x v="3"/>
    <s v="DL-CS-651951"/>
    <x v="4"/>
    <s v="Resolved"/>
    <s v="Low"/>
    <x v="3"/>
    <n v="25"/>
    <n v="3"/>
    <s v="CSC"/>
  </r>
  <r>
    <d v="2026-09-22T17:07:32"/>
    <x v="7"/>
    <s v="DL-CS-151991"/>
    <x v="1"/>
    <s v="In Progress"/>
    <s v="Medium"/>
    <x v="2"/>
    <n v="12"/>
    <n v="3"/>
    <s v="e-District Portal"/>
  </r>
  <r>
    <d v="2026-09-19T22:40:24"/>
    <x v="3"/>
    <s v="DL-CS-288751"/>
    <x v="4"/>
    <s v="In Progress"/>
    <s v="High"/>
    <x v="0"/>
    <n v="12"/>
    <n v="3"/>
    <s v="CSC"/>
  </r>
  <r>
    <d v="2026-09-23T00:07:14"/>
    <x v="6"/>
    <s v="DL-CS-466326"/>
    <x v="1"/>
    <s v="Resolved"/>
    <s v="High"/>
    <x v="2"/>
    <n v="12"/>
    <n v="2"/>
    <s v="LG Listening Post"/>
  </r>
  <r>
    <d v="2026-09-16T00:14:28"/>
    <x v="1"/>
    <s v="DL-CS-786337"/>
    <x v="1"/>
    <s v="Resolved"/>
    <s v="High"/>
    <x v="1"/>
    <n v="25"/>
    <n v="3"/>
    <s v="e-District Portal"/>
  </r>
  <r>
    <d v="2026-09-15T10:15:05"/>
    <x v="2"/>
    <s v="DL-CS-718992"/>
    <x v="0"/>
    <s v="In Progress"/>
    <s v="Medium"/>
    <x v="2"/>
    <n v="25"/>
    <n v="3"/>
    <s v="e-District Portal"/>
  </r>
  <r>
    <d v="2026-09-17T21:42:31"/>
    <x v="3"/>
    <s v="DL-CS-149115"/>
    <x v="3"/>
    <s v="Pending"/>
    <s v="Medium"/>
    <x v="2"/>
    <n v="25"/>
    <n v="3"/>
    <s v="e-District Portal"/>
  </r>
  <r>
    <d v="2026-09-13T16:16:53"/>
    <x v="1"/>
    <s v="DL-CS-453151"/>
    <x v="1"/>
    <s v="Resolved"/>
    <s v="Medium"/>
    <x v="1"/>
    <n v="25"/>
    <n v="3"/>
    <s v="e-District Portal"/>
  </r>
  <r>
    <d v="2026-09-11T18:48:51"/>
    <x v="5"/>
    <s v="DL-CS-843583"/>
    <x v="2"/>
    <s v="In Progress"/>
    <s v="Medium"/>
    <x v="3"/>
    <n v="25"/>
    <n v="3"/>
    <s v="LG Listening Post"/>
  </r>
  <r>
    <d v="2026-09-18T15:11:46"/>
    <x v="5"/>
    <s v="DL-CS-291962"/>
    <x v="3"/>
    <s v="Resolved"/>
    <s v="High"/>
    <x v="3"/>
    <n v="17"/>
    <n v="3"/>
    <s v="e-District Portal"/>
  </r>
  <r>
    <d v="2026-09-30T00:00:00"/>
    <x v="2"/>
    <s v="DL-CS-821747"/>
    <x v="3"/>
    <s v="In Progress"/>
    <s v="Low"/>
    <x v="2"/>
    <n v="23"/>
    <n v="1"/>
    <s v="CSC"/>
  </r>
  <r>
    <d v="2026-09-03T21:56:59"/>
    <x v="2"/>
    <s v="DL-CS-249143"/>
    <x v="3"/>
    <s v="Resolved"/>
    <s v="Low"/>
    <x v="1"/>
    <n v="25"/>
    <n v="3"/>
    <s v="LG Listening Post"/>
  </r>
  <r>
    <d v="2026-09-28T09:31:39"/>
    <x v="1"/>
    <s v="DL-CS-814635"/>
    <x v="0"/>
    <s v="Resolved"/>
    <s v="Medium"/>
    <x v="1"/>
    <n v="25"/>
    <n v="3"/>
    <s v="Mobile App"/>
  </r>
  <r>
    <d v="2026-09-11T08:19:18"/>
    <x v="3"/>
    <s v="DL-CS-636226"/>
    <x v="1"/>
    <s v="Pending"/>
    <s v="Low"/>
    <x v="0"/>
    <n v="14"/>
    <n v="2"/>
    <s v="Mobile App"/>
  </r>
  <r>
    <d v="2026-09-16T10:44:01"/>
    <x v="7"/>
    <s v="DL-CS-453824"/>
    <x v="0"/>
    <s v="In Progress"/>
    <s v="Low"/>
    <x v="3"/>
    <n v="25"/>
    <n v="3"/>
    <s v="CSC"/>
  </r>
  <r>
    <d v="2026-09-03T00:57:53"/>
    <x v="3"/>
    <s v="DL-CS-104000"/>
    <x v="1"/>
    <s v="Pending"/>
    <s v="Medium"/>
    <x v="4"/>
    <n v="9"/>
    <n v="5"/>
    <s v="CSC"/>
  </r>
  <r>
    <d v="2026-09-14T09:46:08"/>
    <x v="7"/>
    <s v="DL-CS-825948"/>
    <x v="0"/>
    <s v="Pending"/>
    <s v="Medium"/>
    <x v="3"/>
    <n v="48"/>
    <n v="3"/>
    <s v="LG Listening Post"/>
  </r>
  <r>
    <d v="2026-09-27T02:03:01"/>
    <x v="6"/>
    <s v="DL-CS-987474"/>
    <x v="0"/>
    <s v="Rejected"/>
    <s v="High"/>
    <x v="3"/>
    <n v="59"/>
    <n v="3"/>
    <s v="Mobile App"/>
  </r>
  <r>
    <d v="2026-09-15T20:44:37"/>
    <x v="0"/>
    <s v="DL-CS-455754"/>
    <x v="2"/>
    <s v="In Progress"/>
    <s v="High"/>
    <x v="0"/>
    <n v="39"/>
    <n v="2"/>
    <s v="Mobile Ap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4210C-651C-4205-B57C-9171CAAFEB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0">
    <pivotField numFmtId="164" showAll="0"/>
    <pivotField axis="axisRow" showAll="0">
      <items count="9">
        <item x="3"/>
        <item x="4"/>
        <item x="7"/>
        <item x="2"/>
        <item x="5"/>
        <item x="1"/>
        <item x="0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ervice_Category" fld="3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330C2-997A-4F10-B544-B7AB5F877B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0">
    <pivotField numFmtId="164" showAll="0"/>
    <pivotField showAll="0"/>
    <pivotField showAll="0"/>
    <pivotField axis="axisRow" dataField="1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ervice_Category" fld="3" subtotal="count" baseField="0" baseItem="0"/>
  </dataFields>
  <chartFormats count="6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51B89-8568-4C61-A2E3-7C15148906D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2" firstHeaderRow="1" firstDataRow="1" firstDataCol="1"/>
  <pivotFields count="10">
    <pivotField numFmtId="164" showAll="0"/>
    <pivotField axis="axisRow" showAll="0">
      <items count="9">
        <item x="3"/>
        <item x="4"/>
        <item x="7"/>
        <item x="2"/>
        <item x="5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pplication_Channel" fld="9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6A191-4497-4BE5-AD7E-E36918C30CD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0">
    <pivotField numFmtId="164" showAll="0"/>
    <pivotField showAll="0"/>
    <pivotField dataField="1"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quest_ID" fld="2" subtotal="count" baseField="0" baseItem="0"/>
  </dataFields>
  <chartFormats count="5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ED44F-0F23-4276-B30B-CDA8D54E15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10">
    <pivotField numFmtId="164"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pplication_Channel" fld="9" subtotal="count" baseField="0" baseItem="0"/>
  </dataFields>
  <chartFormats count="6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D778F-63F5-4E4A-9A02-696C25EFA83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0">
    <pivotField numFmtId="164"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ssigned_Department" fld="6" subtotal="count" baseField="0" baseItem="0"/>
  </dataField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A4E97-10B1-49BD-9243-FC029D077FB7}" name="Table1" displayName="Table1" ref="A1:J201" totalsRowShown="0" headerRowDxfId="11" dataDxfId="10">
  <autoFilter ref="A1:J201" xr:uid="{0BFA4E97-10B1-49BD-9243-FC029D077FB7}"/>
  <tableColumns count="10">
    <tableColumn id="1" xr3:uid="{42B806FB-CF32-4F7A-8F8A-95A6E394AF16}" name="Timestamp" dataDxfId="9"/>
    <tableColumn id="2" xr3:uid="{4F7E1BC9-FFDA-4141-B5AA-D7A384BB9E33}" name="Location" dataDxfId="8"/>
    <tableColumn id="3" xr3:uid="{DBF1F0C6-D748-46B8-86C4-AE4D397CF7F7}" name="Request_ID" dataDxfId="7"/>
    <tableColumn id="4" xr3:uid="{0D0A289F-02F2-415C-B780-E9570AF8ADC1}" name="Service_Category" dataDxfId="6"/>
    <tableColumn id="5" xr3:uid="{15FD10A4-E512-4513-A02F-97FA92EFBCCC}" name="Status" dataDxfId="5"/>
    <tableColumn id="6" xr3:uid="{0204AD0F-427E-4F36-9BE5-C60334FA7687}" name="Priority" dataDxfId="4"/>
    <tableColumn id="7" xr3:uid="{2294BD47-8E87-4618-A4E6-ADD2DC27552E}" name="Assigned_Department" dataDxfId="3"/>
    <tableColumn id="8" xr3:uid="{20295708-5895-440E-93E7-9C41C2CE5CB2}" name="Resolution_Time (Hrs)" dataDxfId="2"/>
    <tableColumn id="9" xr3:uid="{525A6BF3-FF61-475E-A4A9-B2B0128F9457}" name="Feedback_Score" dataDxfId="1"/>
    <tableColumn id="10" xr3:uid="{9DBE40DB-65A1-40F2-8A56-1521B7B69EF3}" name="Application_Channel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K207"/>
  <sheetViews>
    <sheetView topLeftCell="C1" zoomScale="98" workbookViewId="0">
      <pane ySplit="1" topLeftCell="A198" activePane="bottomLeft" state="frozen"/>
      <selection pane="bottomLeft" activeCell="J203" sqref="J203"/>
    </sheetView>
  </sheetViews>
  <sheetFormatPr defaultRowHeight="14.5" x14ac:dyDescent="0.35"/>
  <cols>
    <col min="1" max="1" width="21.36328125" style="3" customWidth="1"/>
    <col min="2" max="2" width="25.26953125" style="3" customWidth="1"/>
    <col min="3" max="3" width="15.08984375" style="3" customWidth="1"/>
    <col min="4" max="4" width="19.36328125" style="3" customWidth="1"/>
    <col min="5" max="5" width="11.81640625" style="3" customWidth="1"/>
    <col min="6" max="6" width="12.26953125" style="3" customWidth="1"/>
    <col min="7" max="7" width="20.08984375" style="3" customWidth="1"/>
    <col min="8" max="8" width="15.54296875" style="3" customWidth="1"/>
    <col min="9" max="9" width="14.6328125" style="3" customWidth="1"/>
    <col min="10" max="10" width="19.81640625" style="3" customWidth="1"/>
    <col min="11" max="11" width="16.1796875" style="3" customWidth="1"/>
    <col min="12" max="16384" width="8.7265625" style="3"/>
  </cols>
  <sheetData>
    <row r="1" spans="1:10" s="2" customFormat="1" ht="46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280</v>
      </c>
      <c r="I1" s="6" t="s">
        <v>7</v>
      </c>
      <c r="J1" s="6" t="s">
        <v>8</v>
      </c>
    </row>
    <row r="2" spans="1:10" ht="30" customHeight="1" x14ac:dyDescent="0.35">
      <c r="A2" s="7">
        <v>46279.844224537039</v>
      </c>
      <c r="B2" s="8" t="s">
        <v>16</v>
      </c>
      <c r="C2" s="8" t="s">
        <v>17</v>
      </c>
      <c r="D2" s="8" t="s">
        <v>217</v>
      </c>
      <c r="E2" s="8" t="s">
        <v>222</v>
      </c>
      <c r="F2" s="8" t="s">
        <v>226</v>
      </c>
      <c r="G2" s="8" t="s">
        <v>230</v>
      </c>
      <c r="H2" s="8">
        <v>23</v>
      </c>
      <c r="I2" s="8">
        <v>3</v>
      </c>
      <c r="J2" s="8" t="s">
        <v>235</v>
      </c>
    </row>
    <row r="3" spans="1:10" ht="30" customHeight="1" x14ac:dyDescent="0.35">
      <c r="A3" s="7">
        <v>46268.185925925929</v>
      </c>
      <c r="B3" s="8" t="s">
        <v>16</v>
      </c>
      <c r="C3" s="8" t="s">
        <v>18</v>
      </c>
      <c r="D3" s="8" t="s">
        <v>218</v>
      </c>
      <c r="E3" s="8" t="s">
        <v>222</v>
      </c>
      <c r="F3" s="8" t="s">
        <v>227</v>
      </c>
      <c r="G3" s="8" t="s">
        <v>231</v>
      </c>
      <c r="H3" s="8">
        <v>71</v>
      </c>
      <c r="I3" s="8">
        <v>2</v>
      </c>
      <c r="J3" s="8" t="s">
        <v>235</v>
      </c>
    </row>
    <row r="4" spans="1:10" ht="30" customHeight="1" x14ac:dyDescent="0.35">
      <c r="A4" s="7">
        <v>46270.371863425928</v>
      </c>
      <c r="B4" s="8" t="s">
        <v>11</v>
      </c>
      <c r="C4" s="8" t="s">
        <v>19</v>
      </c>
      <c r="D4" s="8" t="s">
        <v>219</v>
      </c>
      <c r="E4" s="8" t="s">
        <v>222</v>
      </c>
      <c r="F4" s="8" t="s">
        <v>227</v>
      </c>
      <c r="G4" s="8" t="s">
        <v>232</v>
      </c>
      <c r="H4" s="8">
        <v>45</v>
      </c>
      <c r="I4" s="8">
        <v>3</v>
      </c>
      <c r="J4" s="8" t="s">
        <v>236</v>
      </c>
    </row>
    <row r="5" spans="1:10" ht="30" customHeight="1" x14ac:dyDescent="0.35">
      <c r="A5" s="7">
        <v>46289.025127314817</v>
      </c>
      <c r="B5" s="8" t="s">
        <v>16</v>
      </c>
      <c r="C5" s="8" t="s">
        <v>20</v>
      </c>
      <c r="D5" s="8" t="s">
        <v>220</v>
      </c>
      <c r="E5" s="8" t="s">
        <v>222</v>
      </c>
      <c r="F5" s="8" t="s">
        <v>226</v>
      </c>
      <c r="G5" s="8" t="s">
        <v>232</v>
      </c>
      <c r="H5" s="8">
        <v>20</v>
      </c>
      <c r="I5" s="8">
        <v>2</v>
      </c>
      <c r="J5" s="8" t="s">
        <v>236</v>
      </c>
    </row>
    <row r="6" spans="1:10" ht="30" customHeight="1" x14ac:dyDescent="0.35">
      <c r="A6" s="7">
        <v>46284.653263888889</v>
      </c>
      <c r="B6" s="8" t="s">
        <v>9</v>
      </c>
      <c r="C6" s="8" t="s">
        <v>21</v>
      </c>
      <c r="D6" s="8" t="s">
        <v>220</v>
      </c>
      <c r="E6" s="8" t="s">
        <v>222</v>
      </c>
      <c r="F6" s="8" t="s">
        <v>227</v>
      </c>
      <c r="G6" s="8" t="s">
        <v>231</v>
      </c>
      <c r="H6" s="8">
        <v>63</v>
      </c>
      <c r="I6" s="8">
        <v>1</v>
      </c>
      <c r="J6" s="8" t="s">
        <v>237</v>
      </c>
    </row>
    <row r="7" spans="1:10" ht="30" customHeight="1" x14ac:dyDescent="0.35">
      <c r="A7" s="7">
        <v>46282.758796296293</v>
      </c>
      <c r="B7" s="8" t="s">
        <v>16</v>
      </c>
      <c r="C7" s="8" t="s">
        <v>22</v>
      </c>
      <c r="D7" s="8" t="s">
        <v>221</v>
      </c>
      <c r="E7" s="8" t="s">
        <v>222</v>
      </c>
      <c r="F7" s="8" t="s">
        <v>227</v>
      </c>
      <c r="G7" s="8" t="s">
        <v>230</v>
      </c>
      <c r="H7" s="8">
        <v>33</v>
      </c>
      <c r="I7" s="8">
        <v>3</v>
      </c>
      <c r="J7" s="8" t="s">
        <v>236</v>
      </c>
    </row>
    <row r="8" spans="1:10" ht="30" customHeight="1" x14ac:dyDescent="0.35">
      <c r="A8" s="7">
        <v>46276.055277777778</v>
      </c>
      <c r="B8" s="8" t="s">
        <v>13</v>
      </c>
      <c r="C8" s="8" t="s">
        <v>23</v>
      </c>
      <c r="D8" s="8" t="s">
        <v>219</v>
      </c>
      <c r="E8" s="8" t="s">
        <v>222</v>
      </c>
      <c r="F8" s="8" t="s">
        <v>227</v>
      </c>
      <c r="G8" s="8" t="s">
        <v>230</v>
      </c>
      <c r="H8" s="8">
        <v>49</v>
      </c>
      <c r="I8" s="8">
        <v>4</v>
      </c>
      <c r="J8" s="8" t="s">
        <v>235</v>
      </c>
    </row>
    <row r="9" spans="1:10" ht="30" customHeight="1" x14ac:dyDescent="0.35">
      <c r="A9" s="7">
        <v>46290.773865740739</v>
      </c>
      <c r="B9" s="8" t="s">
        <v>12</v>
      </c>
      <c r="C9" s="8" t="s">
        <v>24</v>
      </c>
      <c r="D9" s="8" t="s">
        <v>218</v>
      </c>
      <c r="E9" s="8" t="s">
        <v>223</v>
      </c>
      <c r="F9" s="8" t="s">
        <v>227</v>
      </c>
      <c r="G9" s="8" t="s">
        <v>233</v>
      </c>
      <c r="H9" s="8">
        <v>27</v>
      </c>
      <c r="I9" s="8">
        <v>3</v>
      </c>
      <c r="J9" s="8" t="s">
        <v>235</v>
      </c>
    </row>
    <row r="10" spans="1:10" ht="30" customHeight="1" x14ac:dyDescent="0.35">
      <c r="A10" s="7">
        <v>46291.356782407413</v>
      </c>
      <c r="B10" s="8" t="s">
        <v>9</v>
      </c>
      <c r="C10" s="8" t="s">
        <v>25</v>
      </c>
      <c r="D10" s="8" t="s">
        <v>217</v>
      </c>
      <c r="E10" s="8" t="s">
        <v>223</v>
      </c>
      <c r="F10" s="8" t="s">
        <v>228</v>
      </c>
      <c r="G10" s="8" t="s">
        <v>233</v>
      </c>
      <c r="H10" s="8">
        <v>19</v>
      </c>
      <c r="I10" s="8">
        <v>3</v>
      </c>
      <c r="J10" s="8" t="s">
        <v>236</v>
      </c>
    </row>
    <row r="11" spans="1:10" ht="30" customHeight="1" x14ac:dyDescent="0.35">
      <c r="A11" s="7">
        <v>46272.557789351849</v>
      </c>
      <c r="B11" s="8" t="s">
        <v>10</v>
      </c>
      <c r="C11" s="8" t="s">
        <v>26</v>
      </c>
      <c r="D11" s="8" t="s">
        <v>217</v>
      </c>
      <c r="E11" s="8" t="s">
        <v>224</v>
      </c>
      <c r="F11" s="8" t="s">
        <v>226</v>
      </c>
      <c r="G11" s="8" t="s">
        <v>234</v>
      </c>
      <c r="H11" s="8">
        <v>13</v>
      </c>
      <c r="I11" s="8">
        <v>2</v>
      </c>
      <c r="J11" s="8" t="s">
        <v>238</v>
      </c>
    </row>
    <row r="12" spans="1:10" ht="30" customHeight="1" x14ac:dyDescent="0.35">
      <c r="A12" s="7">
        <v>46275.618090277778</v>
      </c>
      <c r="B12" s="8" t="s">
        <v>13</v>
      </c>
      <c r="C12" s="8" t="s">
        <v>27</v>
      </c>
      <c r="D12" s="8" t="s">
        <v>218</v>
      </c>
      <c r="E12" s="8" t="s">
        <v>222</v>
      </c>
      <c r="F12" s="8" t="s">
        <v>228</v>
      </c>
      <c r="G12" s="8" t="s">
        <v>232</v>
      </c>
      <c r="H12" s="8">
        <v>9</v>
      </c>
      <c r="I12" s="8">
        <v>3</v>
      </c>
      <c r="J12" s="8" t="s">
        <v>236</v>
      </c>
    </row>
    <row r="13" spans="1:10" ht="30" customHeight="1" x14ac:dyDescent="0.35">
      <c r="A13" s="7">
        <v>46292.522615740738</v>
      </c>
      <c r="B13" s="8" t="s">
        <v>12</v>
      </c>
      <c r="C13" s="8" t="s">
        <v>28</v>
      </c>
      <c r="D13" s="8" t="s">
        <v>221</v>
      </c>
      <c r="E13" s="8" t="s">
        <v>225</v>
      </c>
      <c r="F13" s="8" t="s">
        <v>229</v>
      </c>
      <c r="G13" s="8" t="s">
        <v>233</v>
      </c>
      <c r="H13" s="8">
        <v>34</v>
      </c>
      <c r="I13" s="8">
        <v>3</v>
      </c>
      <c r="J13" s="8" t="s">
        <v>236</v>
      </c>
    </row>
    <row r="14" spans="1:10" ht="30" customHeight="1" x14ac:dyDescent="0.35">
      <c r="A14" s="7">
        <v>46290.045231481483</v>
      </c>
      <c r="B14" s="8" t="s">
        <v>10</v>
      </c>
      <c r="C14" s="8" t="s">
        <v>29</v>
      </c>
      <c r="D14" s="8" t="s">
        <v>217</v>
      </c>
      <c r="E14" s="8" t="s">
        <v>224</v>
      </c>
      <c r="F14" s="8" t="s">
        <v>226</v>
      </c>
      <c r="G14" s="8" t="s">
        <v>230</v>
      </c>
      <c r="H14" s="8">
        <v>62</v>
      </c>
      <c r="I14" s="8">
        <v>3</v>
      </c>
      <c r="J14" s="8" t="s">
        <v>235</v>
      </c>
    </row>
    <row r="15" spans="1:10" ht="30" customHeight="1" x14ac:dyDescent="0.35">
      <c r="A15" s="7">
        <v>46277.366828703707</v>
      </c>
      <c r="B15" s="8" t="s">
        <v>15</v>
      </c>
      <c r="C15" s="8" t="s">
        <v>30</v>
      </c>
      <c r="D15" s="8" t="s">
        <v>219</v>
      </c>
      <c r="E15" s="8" t="s">
        <v>222</v>
      </c>
      <c r="F15" s="8" t="s">
        <v>228</v>
      </c>
      <c r="G15" s="8" t="s">
        <v>231</v>
      </c>
      <c r="H15" s="8">
        <v>32</v>
      </c>
      <c r="I15" s="8">
        <v>2</v>
      </c>
      <c r="J15" s="8" t="s">
        <v>237</v>
      </c>
    </row>
    <row r="16" spans="1:10" ht="30" customHeight="1" x14ac:dyDescent="0.35">
      <c r="A16" s="7">
        <v>46293.105532407397</v>
      </c>
      <c r="B16" s="8" t="s">
        <v>15</v>
      </c>
      <c r="C16" s="8" t="s">
        <v>31</v>
      </c>
      <c r="D16" s="8" t="s">
        <v>221</v>
      </c>
      <c r="E16" s="8" t="s">
        <v>224</v>
      </c>
      <c r="F16" s="8" t="s">
        <v>229</v>
      </c>
      <c r="G16" s="8" t="s">
        <v>230</v>
      </c>
      <c r="H16" s="8">
        <v>58</v>
      </c>
      <c r="I16" s="8">
        <v>3</v>
      </c>
      <c r="J16" s="8" t="s">
        <v>235</v>
      </c>
    </row>
    <row r="17" spans="1:10" ht="30" customHeight="1" x14ac:dyDescent="0.35">
      <c r="A17" s="7">
        <v>46291.793969907398</v>
      </c>
      <c r="B17" s="8" t="s">
        <v>16</v>
      </c>
      <c r="C17" s="8" t="s">
        <v>32</v>
      </c>
      <c r="D17" s="8" t="s">
        <v>219</v>
      </c>
      <c r="E17" s="8" t="s">
        <v>225</v>
      </c>
      <c r="F17" s="8" t="s">
        <v>229</v>
      </c>
      <c r="G17" s="8" t="s">
        <v>232</v>
      </c>
      <c r="H17" s="8">
        <v>29</v>
      </c>
      <c r="I17" s="8">
        <v>1</v>
      </c>
      <c r="J17" s="8" t="s">
        <v>237</v>
      </c>
    </row>
    <row r="18" spans="1:10" ht="30" customHeight="1" x14ac:dyDescent="0.35">
      <c r="A18" s="7">
        <v>46274.160798611112</v>
      </c>
      <c r="B18" s="8" t="s">
        <v>10</v>
      </c>
      <c r="C18" s="8" t="s">
        <v>33</v>
      </c>
      <c r="D18" s="8" t="s">
        <v>220</v>
      </c>
      <c r="E18" s="8" t="s">
        <v>222</v>
      </c>
      <c r="F18" s="8" t="s">
        <v>226</v>
      </c>
      <c r="G18" s="8" t="s">
        <v>230</v>
      </c>
      <c r="H18" s="8">
        <v>29</v>
      </c>
      <c r="I18" s="8">
        <v>3</v>
      </c>
      <c r="J18" s="8" t="s">
        <v>235</v>
      </c>
    </row>
    <row r="19" spans="1:10" ht="30" customHeight="1" x14ac:dyDescent="0.35">
      <c r="A19" s="7">
        <v>46288.150752314818</v>
      </c>
      <c r="B19" s="8" t="s">
        <v>13</v>
      </c>
      <c r="C19" s="8" t="s">
        <v>34</v>
      </c>
      <c r="D19" s="8" t="s">
        <v>221</v>
      </c>
      <c r="E19" s="8" t="s">
        <v>222</v>
      </c>
      <c r="F19" s="8" t="s">
        <v>227</v>
      </c>
      <c r="G19" s="8" t="s">
        <v>234</v>
      </c>
      <c r="H19" s="8">
        <v>29</v>
      </c>
      <c r="I19" s="8">
        <v>3</v>
      </c>
      <c r="J19" s="8" t="s">
        <v>236</v>
      </c>
    </row>
    <row r="20" spans="1:10" ht="30" customHeight="1" x14ac:dyDescent="0.35">
      <c r="A20" s="7">
        <v>46277.949745370373</v>
      </c>
      <c r="B20" s="8" t="s">
        <v>10</v>
      </c>
      <c r="C20" s="8" t="s">
        <v>35</v>
      </c>
      <c r="D20" s="8" t="s">
        <v>217</v>
      </c>
      <c r="E20" s="8" t="s">
        <v>222</v>
      </c>
      <c r="F20" s="8" t="s">
        <v>226</v>
      </c>
      <c r="G20" s="8" t="s">
        <v>232</v>
      </c>
      <c r="H20" s="8">
        <v>30</v>
      </c>
      <c r="I20" s="8">
        <v>1</v>
      </c>
      <c r="J20" s="8" t="s">
        <v>235</v>
      </c>
    </row>
    <row r="21" spans="1:10" ht="30" customHeight="1" x14ac:dyDescent="0.35">
      <c r="A21" s="7">
        <v>46275.909548611111</v>
      </c>
      <c r="B21" s="8" t="s">
        <v>15</v>
      </c>
      <c r="C21" s="8" t="s">
        <v>36</v>
      </c>
      <c r="D21" s="8" t="s">
        <v>221</v>
      </c>
      <c r="E21" s="8" t="s">
        <v>222</v>
      </c>
      <c r="F21" s="8" t="s">
        <v>229</v>
      </c>
      <c r="G21" s="8" t="s">
        <v>231</v>
      </c>
      <c r="H21" s="8">
        <v>16</v>
      </c>
      <c r="I21" s="8">
        <v>5</v>
      </c>
      <c r="J21" s="8" t="s">
        <v>235</v>
      </c>
    </row>
    <row r="22" spans="1:10" ht="30" customHeight="1" x14ac:dyDescent="0.35">
      <c r="A22" s="7">
        <v>46284.070347222223</v>
      </c>
      <c r="B22" s="8" t="s">
        <v>13</v>
      </c>
      <c r="C22" s="8" t="s">
        <v>37</v>
      </c>
      <c r="D22" s="8" t="s">
        <v>221</v>
      </c>
      <c r="E22" s="8" t="s">
        <v>224</v>
      </c>
      <c r="F22" s="8" t="s">
        <v>226</v>
      </c>
      <c r="G22" s="8" t="s">
        <v>234</v>
      </c>
      <c r="H22" s="8">
        <v>40</v>
      </c>
      <c r="I22" s="8">
        <v>2</v>
      </c>
      <c r="J22" s="8" t="s">
        <v>235</v>
      </c>
    </row>
    <row r="23" spans="1:10" ht="30" customHeight="1" x14ac:dyDescent="0.35">
      <c r="A23" s="7">
        <v>46268.331655092603</v>
      </c>
      <c r="B23" s="8" t="s">
        <v>16</v>
      </c>
      <c r="C23" s="8" t="s">
        <v>38</v>
      </c>
      <c r="D23" s="8" t="s">
        <v>221</v>
      </c>
      <c r="E23" s="8" t="s">
        <v>223</v>
      </c>
      <c r="F23" s="8" t="s">
        <v>227</v>
      </c>
      <c r="G23" s="8" t="s">
        <v>232</v>
      </c>
      <c r="H23" s="8">
        <v>19</v>
      </c>
      <c r="I23" s="8">
        <v>1</v>
      </c>
      <c r="J23" s="8" t="s">
        <v>236</v>
      </c>
    </row>
    <row r="24" spans="1:10" ht="30" customHeight="1" x14ac:dyDescent="0.35">
      <c r="A24" s="7">
        <v>46287.567835648151</v>
      </c>
      <c r="B24" s="8" t="s">
        <v>9</v>
      </c>
      <c r="C24" s="8" t="s">
        <v>39</v>
      </c>
      <c r="D24" s="8" t="s">
        <v>221</v>
      </c>
      <c r="E24" s="8" t="s">
        <v>222</v>
      </c>
      <c r="F24" s="8" t="s">
        <v>229</v>
      </c>
      <c r="G24" s="8" t="s">
        <v>231</v>
      </c>
      <c r="H24" s="8">
        <v>28</v>
      </c>
      <c r="I24" s="8">
        <v>3</v>
      </c>
      <c r="J24" s="8" t="s">
        <v>236</v>
      </c>
    </row>
    <row r="25" spans="1:10" ht="30" customHeight="1" x14ac:dyDescent="0.35">
      <c r="A25" s="7">
        <v>46279.552766203713</v>
      </c>
      <c r="B25" s="8" t="s">
        <v>10</v>
      </c>
      <c r="C25" s="8" t="s">
        <v>40</v>
      </c>
      <c r="D25" s="8" t="s">
        <v>219</v>
      </c>
      <c r="E25" s="8" t="s">
        <v>222</v>
      </c>
      <c r="F25" s="8" t="s">
        <v>229</v>
      </c>
      <c r="G25" s="8" t="s">
        <v>234</v>
      </c>
      <c r="H25" s="8">
        <v>1</v>
      </c>
      <c r="I25" s="8">
        <v>2</v>
      </c>
      <c r="J25" s="8" t="s">
        <v>236</v>
      </c>
    </row>
    <row r="26" spans="1:10" ht="30" customHeight="1" x14ac:dyDescent="0.35">
      <c r="A26" s="7">
        <v>46275.472361111111</v>
      </c>
      <c r="B26" s="8" t="s">
        <v>15</v>
      </c>
      <c r="C26" s="8" t="s">
        <v>41</v>
      </c>
      <c r="D26" s="8" t="s">
        <v>220</v>
      </c>
      <c r="E26" s="8" t="s">
        <v>225</v>
      </c>
      <c r="F26" s="8" t="s">
        <v>226</v>
      </c>
      <c r="G26" s="8" t="s">
        <v>234</v>
      </c>
      <c r="H26" s="8">
        <v>32</v>
      </c>
      <c r="I26" s="8">
        <v>3</v>
      </c>
      <c r="J26" s="8" t="s">
        <v>236</v>
      </c>
    </row>
    <row r="27" spans="1:10" ht="30" customHeight="1" x14ac:dyDescent="0.35">
      <c r="A27" s="7">
        <v>46274.743715277778</v>
      </c>
      <c r="B27" s="8" t="s">
        <v>15</v>
      </c>
      <c r="C27" s="8" t="s">
        <v>42</v>
      </c>
      <c r="D27" s="8" t="s">
        <v>218</v>
      </c>
      <c r="E27" s="8" t="s">
        <v>225</v>
      </c>
      <c r="F27" s="8" t="s">
        <v>227</v>
      </c>
      <c r="G27" s="8" t="s">
        <v>232</v>
      </c>
      <c r="H27" s="8">
        <v>66</v>
      </c>
      <c r="I27" s="8">
        <v>2</v>
      </c>
      <c r="J27" s="8" t="s">
        <v>237</v>
      </c>
    </row>
    <row r="28" spans="1:10" ht="30" customHeight="1" x14ac:dyDescent="0.35">
      <c r="A28" s="7">
        <v>46278.241203703707</v>
      </c>
      <c r="B28" s="8" t="s">
        <v>10</v>
      </c>
      <c r="C28" s="8" t="s">
        <v>43</v>
      </c>
      <c r="D28" s="8" t="s">
        <v>221</v>
      </c>
      <c r="E28" s="8" t="s">
        <v>222</v>
      </c>
      <c r="F28" s="8" t="s">
        <v>227</v>
      </c>
      <c r="G28" s="8" t="s">
        <v>233</v>
      </c>
      <c r="H28" s="8">
        <v>66</v>
      </c>
      <c r="I28" s="8">
        <v>3</v>
      </c>
      <c r="J28" s="8" t="s">
        <v>237</v>
      </c>
    </row>
    <row r="29" spans="1:10" ht="30" customHeight="1" x14ac:dyDescent="0.35">
      <c r="A29" s="7">
        <v>46275.763819444437</v>
      </c>
      <c r="B29" s="8" t="s">
        <v>9</v>
      </c>
      <c r="C29" s="8" t="s">
        <v>44</v>
      </c>
      <c r="D29" s="8" t="s">
        <v>217</v>
      </c>
      <c r="E29" s="8" t="s">
        <v>222</v>
      </c>
      <c r="F29" s="8" t="s">
        <v>227</v>
      </c>
      <c r="G29" s="8" t="s">
        <v>234</v>
      </c>
      <c r="H29" s="8">
        <v>51</v>
      </c>
      <c r="I29" s="8">
        <v>2</v>
      </c>
      <c r="J29" s="8" t="s">
        <v>238</v>
      </c>
    </row>
    <row r="30" spans="1:10" ht="30" customHeight="1" x14ac:dyDescent="0.35">
      <c r="A30" s="7">
        <v>46284.21607638889</v>
      </c>
      <c r="B30" s="8" t="s">
        <v>11</v>
      </c>
      <c r="C30" s="8" t="s">
        <v>45</v>
      </c>
      <c r="D30" s="8" t="s">
        <v>221</v>
      </c>
      <c r="E30" s="8" t="s">
        <v>222</v>
      </c>
      <c r="F30" s="8" t="s">
        <v>226</v>
      </c>
      <c r="G30" s="8" t="s">
        <v>234</v>
      </c>
      <c r="H30" s="8">
        <v>66</v>
      </c>
      <c r="I30" s="8">
        <v>3</v>
      </c>
      <c r="J30" s="8" t="s">
        <v>236</v>
      </c>
    </row>
    <row r="31" spans="1:10" ht="30" customHeight="1" x14ac:dyDescent="0.35">
      <c r="A31" s="7">
        <v>46285.236180555563</v>
      </c>
      <c r="B31" s="8" t="s">
        <v>16</v>
      </c>
      <c r="C31" s="8" t="s">
        <v>46</v>
      </c>
      <c r="D31" s="8" t="s">
        <v>217</v>
      </c>
      <c r="E31" s="8" t="s">
        <v>222</v>
      </c>
      <c r="F31" s="8" t="s">
        <v>227</v>
      </c>
      <c r="G31" s="8" t="s">
        <v>231</v>
      </c>
      <c r="H31" s="8">
        <v>66</v>
      </c>
      <c r="I31" s="8">
        <v>3</v>
      </c>
      <c r="J31" s="8" t="s">
        <v>237</v>
      </c>
    </row>
    <row r="32" spans="1:10" ht="30" customHeight="1" x14ac:dyDescent="0.35">
      <c r="A32" s="7">
        <v>46267.311562499999</v>
      </c>
      <c r="B32" s="8" t="s">
        <v>14</v>
      </c>
      <c r="C32" s="8" t="s">
        <v>47</v>
      </c>
      <c r="D32" s="8" t="s">
        <v>219</v>
      </c>
      <c r="E32" s="8" t="s">
        <v>224</v>
      </c>
      <c r="F32" s="8" t="s">
        <v>226</v>
      </c>
      <c r="G32" s="8" t="s">
        <v>230</v>
      </c>
      <c r="H32" s="8">
        <v>66</v>
      </c>
      <c r="I32" s="8">
        <v>3</v>
      </c>
      <c r="J32" s="8" t="s">
        <v>235</v>
      </c>
    </row>
    <row r="33" spans="1:10" ht="30" customHeight="1" x14ac:dyDescent="0.35">
      <c r="A33" s="7">
        <v>46268.623113425929</v>
      </c>
      <c r="B33" s="8" t="s">
        <v>9</v>
      </c>
      <c r="C33" s="8" t="s">
        <v>48</v>
      </c>
      <c r="D33" s="8" t="s">
        <v>217</v>
      </c>
      <c r="E33" s="8" t="s">
        <v>222</v>
      </c>
      <c r="F33" s="8" t="s">
        <v>227</v>
      </c>
      <c r="G33" s="8" t="s">
        <v>232</v>
      </c>
      <c r="H33" s="8">
        <v>8</v>
      </c>
      <c r="I33" s="8">
        <v>5</v>
      </c>
      <c r="J33" s="8" t="s">
        <v>236</v>
      </c>
    </row>
    <row r="34" spans="1:10" ht="30" customHeight="1" x14ac:dyDescent="0.35">
      <c r="A34" s="7">
        <v>46274.015081018522</v>
      </c>
      <c r="B34" s="8" t="s">
        <v>10</v>
      </c>
      <c r="C34" s="8" t="s">
        <v>49</v>
      </c>
      <c r="D34" s="8" t="s">
        <v>218</v>
      </c>
      <c r="E34" s="8" t="s">
        <v>223</v>
      </c>
      <c r="F34" s="8" t="s">
        <v>227</v>
      </c>
      <c r="G34" s="8" t="s">
        <v>232</v>
      </c>
      <c r="H34" s="8">
        <v>29</v>
      </c>
      <c r="I34" s="8">
        <v>2</v>
      </c>
      <c r="J34" s="8" t="s">
        <v>238</v>
      </c>
    </row>
    <row r="35" spans="1:10" ht="30" customHeight="1" x14ac:dyDescent="0.35">
      <c r="A35" s="7">
        <v>46276.929652777777</v>
      </c>
      <c r="B35" s="8" t="s">
        <v>15</v>
      </c>
      <c r="C35" s="8" t="s">
        <v>50</v>
      </c>
      <c r="D35" s="8" t="s">
        <v>220</v>
      </c>
      <c r="E35" s="8" t="s">
        <v>225</v>
      </c>
      <c r="F35" s="8" t="s">
        <v>227</v>
      </c>
      <c r="G35" s="8" t="s">
        <v>233</v>
      </c>
      <c r="H35" s="8">
        <v>55</v>
      </c>
      <c r="I35" s="8">
        <v>3</v>
      </c>
      <c r="J35" s="8" t="s">
        <v>238</v>
      </c>
    </row>
    <row r="36" spans="1:10" ht="30" customHeight="1" x14ac:dyDescent="0.35">
      <c r="A36" s="7">
        <v>46287.859293981477</v>
      </c>
      <c r="B36" s="8" t="s">
        <v>10</v>
      </c>
      <c r="C36" s="8" t="s">
        <v>51</v>
      </c>
      <c r="D36" s="8" t="s">
        <v>217</v>
      </c>
      <c r="E36" s="8" t="s">
        <v>222</v>
      </c>
      <c r="F36" s="8" t="s">
        <v>227</v>
      </c>
      <c r="G36" s="8" t="s">
        <v>233</v>
      </c>
      <c r="H36" s="8">
        <v>29</v>
      </c>
      <c r="I36" s="8">
        <v>3</v>
      </c>
      <c r="J36" s="8" t="s">
        <v>238</v>
      </c>
    </row>
    <row r="37" spans="1:10" ht="30" customHeight="1" x14ac:dyDescent="0.35">
      <c r="A37" s="7">
        <v>46281.155775462961</v>
      </c>
      <c r="B37" s="8" t="s">
        <v>9</v>
      </c>
      <c r="C37" s="8" t="s">
        <v>52</v>
      </c>
      <c r="D37" s="8" t="s">
        <v>217</v>
      </c>
      <c r="E37" s="8" t="s">
        <v>224</v>
      </c>
      <c r="F37" s="8" t="s">
        <v>226</v>
      </c>
      <c r="G37" s="8" t="s">
        <v>232</v>
      </c>
      <c r="H37" s="8">
        <v>6</v>
      </c>
      <c r="I37" s="8">
        <v>3</v>
      </c>
      <c r="J37" s="8" t="s">
        <v>235</v>
      </c>
    </row>
    <row r="38" spans="1:10" ht="30" customHeight="1" x14ac:dyDescent="0.35">
      <c r="A38" s="7">
        <v>46285.673368055563</v>
      </c>
      <c r="B38" s="8" t="s">
        <v>16</v>
      </c>
      <c r="C38" s="8" t="s">
        <v>53</v>
      </c>
      <c r="D38" s="8" t="s">
        <v>220</v>
      </c>
      <c r="E38" s="8" t="s">
        <v>222</v>
      </c>
      <c r="F38" s="8" t="s">
        <v>227</v>
      </c>
      <c r="G38" s="8" t="s">
        <v>233</v>
      </c>
      <c r="H38" s="8">
        <v>5</v>
      </c>
      <c r="I38" s="8">
        <v>3</v>
      </c>
      <c r="J38" s="8" t="s">
        <v>237</v>
      </c>
    </row>
    <row r="39" spans="1:10" ht="30" customHeight="1" x14ac:dyDescent="0.35">
      <c r="A39" s="7">
        <v>46285.964826388888</v>
      </c>
      <c r="B39" s="8" t="s">
        <v>14</v>
      </c>
      <c r="C39" s="8" t="s">
        <v>54</v>
      </c>
      <c r="D39" s="8" t="s">
        <v>218</v>
      </c>
      <c r="E39" s="8" t="s">
        <v>222</v>
      </c>
      <c r="F39" s="8" t="s">
        <v>227</v>
      </c>
      <c r="G39" s="8" t="s">
        <v>231</v>
      </c>
      <c r="H39" s="8">
        <v>34</v>
      </c>
      <c r="I39" s="8">
        <v>1</v>
      </c>
      <c r="J39" s="8" t="s">
        <v>235</v>
      </c>
    </row>
    <row r="40" spans="1:10" ht="30" customHeight="1" x14ac:dyDescent="0.35">
      <c r="A40" s="7">
        <v>46289.899502314824</v>
      </c>
      <c r="B40" s="8" t="s">
        <v>14</v>
      </c>
      <c r="C40" s="8" t="s">
        <v>55</v>
      </c>
      <c r="D40" s="8" t="s">
        <v>221</v>
      </c>
      <c r="E40" s="8" t="s">
        <v>224</v>
      </c>
      <c r="F40" s="8" t="s">
        <v>226</v>
      </c>
      <c r="G40" s="8" t="s">
        <v>232</v>
      </c>
      <c r="H40" s="8">
        <v>55</v>
      </c>
      <c r="I40" s="8">
        <v>5</v>
      </c>
      <c r="J40" s="8" t="s">
        <v>236</v>
      </c>
    </row>
    <row r="41" spans="1:10" ht="30" customHeight="1" x14ac:dyDescent="0.35">
      <c r="A41" s="7">
        <v>46277.075381944444</v>
      </c>
      <c r="B41" s="8" t="s">
        <v>15</v>
      </c>
      <c r="C41" s="8" t="s">
        <v>56</v>
      </c>
      <c r="D41" s="8" t="s">
        <v>217</v>
      </c>
      <c r="E41" s="8" t="s">
        <v>223</v>
      </c>
      <c r="F41" s="8" t="s">
        <v>227</v>
      </c>
      <c r="G41" s="8" t="s">
        <v>233</v>
      </c>
      <c r="H41" s="8">
        <v>32</v>
      </c>
      <c r="I41" s="8">
        <v>5</v>
      </c>
      <c r="J41" s="8" t="s">
        <v>238</v>
      </c>
    </row>
    <row r="42" spans="1:10" ht="30" customHeight="1" x14ac:dyDescent="0.35">
      <c r="A42" s="7">
        <v>46277.512557870366</v>
      </c>
      <c r="B42" s="8" t="s">
        <v>13</v>
      </c>
      <c r="C42" s="8" t="s">
        <v>57</v>
      </c>
      <c r="D42" s="8" t="s">
        <v>220</v>
      </c>
      <c r="E42" s="8" t="s">
        <v>222</v>
      </c>
      <c r="F42" s="8" t="s">
        <v>227</v>
      </c>
      <c r="G42" s="8" t="s">
        <v>232</v>
      </c>
      <c r="H42" s="8">
        <v>20</v>
      </c>
      <c r="I42" s="8">
        <v>3</v>
      </c>
      <c r="J42" s="8" t="s">
        <v>235</v>
      </c>
    </row>
    <row r="43" spans="1:10" ht="30" customHeight="1" x14ac:dyDescent="0.35">
      <c r="A43" s="7">
        <v>46294.708541666667</v>
      </c>
      <c r="B43" s="8" t="s">
        <v>10</v>
      </c>
      <c r="C43" s="8" t="s">
        <v>58</v>
      </c>
      <c r="D43" s="8" t="s">
        <v>219</v>
      </c>
      <c r="E43" s="8" t="s">
        <v>222</v>
      </c>
      <c r="F43" s="8" t="s">
        <v>228</v>
      </c>
      <c r="G43" s="8" t="s">
        <v>230</v>
      </c>
      <c r="H43" s="8">
        <v>29</v>
      </c>
      <c r="I43" s="8">
        <v>3</v>
      </c>
      <c r="J43" s="8" t="s">
        <v>235</v>
      </c>
    </row>
    <row r="44" spans="1:10" ht="30" customHeight="1" x14ac:dyDescent="0.35">
      <c r="A44" s="7">
        <v>46271.537685185183</v>
      </c>
      <c r="B44" s="8" t="s">
        <v>14</v>
      </c>
      <c r="C44" s="8" t="s">
        <v>59</v>
      </c>
      <c r="D44" s="8" t="s">
        <v>220</v>
      </c>
      <c r="E44" s="8" t="s">
        <v>222</v>
      </c>
      <c r="F44" s="8" t="s">
        <v>227</v>
      </c>
      <c r="G44" s="8" t="s">
        <v>234</v>
      </c>
      <c r="H44" s="8">
        <v>8</v>
      </c>
      <c r="I44" s="8">
        <v>4</v>
      </c>
      <c r="J44" s="8" t="s">
        <v>237</v>
      </c>
    </row>
    <row r="45" spans="1:10" ht="30" customHeight="1" x14ac:dyDescent="0.35">
      <c r="A45" s="7">
        <v>46269.497488425928</v>
      </c>
      <c r="B45" s="8" t="s">
        <v>9</v>
      </c>
      <c r="C45" s="8" t="s">
        <v>60</v>
      </c>
      <c r="D45" s="8" t="s">
        <v>219</v>
      </c>
      <c r="E45" s="8" t="s">
        <v>222</v>
      </c>
      <c r="F45" s="8" t="s">
        <v>229</v>
      </c>
      <c r="G45" s="8" t="s">
        <v>232</v>
      </c>
      <c r="H45" s="8">
        <v>65</v>
      </c>
      <c r="I45" s="8">
        <v>1</v>
      </c>
      <c r="J45" s="8" t="s">
        <v>237</v>
      </c>
    </row>
    <row r="46" spans="1:10" ht="30" customHeight="1" x14ac:dyDescent="0.35">
      <c r="A46" s="7">
        <v>46283.77888888889</v>
      </c>
      <c r="B46" s="8" t="s">
        <v>14</v>
      </c>
      <c r="C46" s="8" t="s">
        <v>61</v>
      </c>
      <c r="D46" s="8" t="s">
        <v>218</v>
      </c>
      <c r="E46" s="8" t="s">
        <v>222</v>
      </c>
      <c r="F46" s="8" t="s">
        <v>228</v>
      </c>
      <c r="G46" s="8" t="s">
        <v>234</v>
      </c>
      <c r="H46" s="8">
        <v>57</v>
      </c>
      <c r="I46" s="8">
        <v>2</v>
      </c>
      <c r="J46" s="8" t="s">
        <v>238</v>
      </c>
    </row>
    <row r="47" spans="1:10" ht="30" customHeight="1" x14ac:dyDescent="0.35">
      <c r="A47" s="7">
        <v>46294.417083333326</v>
      </c>
      <c r="B47" s="8" t="s">
        <v>12</v>
      </c>
      <c r="C47" s="8" t="s">
        <v>62</v>
      </c>
      <c r="D47" s="8" t="s">
        <v>221</v>
      </c>
      <c r="E47" s="8" t="s">
        <v>222</v>
      </c>
      <c r="F47" s="8" t="s">
        <v>227</v>
      </c>
      <c r="G47" s="8" t="s">
        <v>233</v>
      </c>
      <c r="H47" s="8">
        <v>67</v>
      </c>
      <c r="I47" s="8">
        <v>1</v>
      </c>
      <c r="J47" s="8" t="s">
        <v>235</v>
      </c>
    </row>
    <row r="48" spans="1:10" ht="30" customHeight="1" x14ac:dyDescent="0.35">
      <c r="A48" s="7">
        <v>46270.226134259261</v>
      </c>
      <c r="B48" s="8" t="s">
        <v>14</v>
      </c>
      <c r="C48" s="8" t="s">
        <v>63</v>
      </c>
      <c r="D48" s="8" t="s">
        <v>220</v>
      </c>
      <c r="E48" s="8" t="s">
        <v>222</v>
      </c>
      <c r="F48" s="8" t="s">
        <v>227</v>
      </c>
      <c r="G48" s="8" t="s">
        <v>234</v>
      </c>
      <c r="H48" s="8">
        <v>20</v>
      </c>
      <c r="I48" s="8">
        <v>3</v>
      </c>
      <c r="J48" s="8" t="s">
        <v>235</v>
      </c>
    </row>
    <row r="49" spans="1:10" ht="30" customHeight="1" x14ac:dyDescent="0.35">
      <c r="A49" s="7">
        <v>46268.768842592603</v>
      </c>
      <c r="B49" s="8" t="s">
        <v>10</v>
      </c>
      <c r="C49" s="8" t="s">
        <v>64</v>
      </c>
      <c r="D49" s="8" t="s">
        <v>217</v>
      </c>
      <c r="E49" s="8" t="s">
        <v>222</v>
      </c>
      <c r="F49" s="8" t="s">
        <v>229</v>
      </c>
      <c r="G49" s="8" t="s">
        <v>232</v>
      </c>
      <c r="H49" s="8">
        <v>29</v>
      </c>
      <c r="I49" s="8">
        <v>3</v>
      </c>
      <c r="J49" s="8" t="s">
        <v>237</v>
      </c>
    </row>
    <row r="50" spans="1:10" ht="30" customHeight="1" x14ac:dyDescent="0.35">
      <c r="A50" s="7">
        <v>46286.839201388888</v>
      </c>
      <c r="B50" s="8" t="s">
        <v>16</v>
      </c>
      <c r="C50" s="8" t="s">
        <v>65</v>
      </c>
      <c r="D50" s="8" t="s">
        <v>218</v>
      </c>
      <c r="E50" s="8" t="s">
        <v>222</v>
      </c>
      <c r="F50" s="8" t="s">
        <v>226</v>
      </c>
      <c r="G50" s="8" t="s">
        <v>230</v>
      </c>
      <c r="H50" s="8">
        <v>67</v>
      </c>
      <c r="I50" s="8">
        <v>1</v>
      </c>
      <c r="J50" s="8" t="s">
        <v>235</v>
      </c>
    </row>
    <row r="51" spans="1:10" ht="30" customHeight="1" x14ac:dyDescent="0.35">
      <c r="A51" s="7">
        <v>46278.53266203704</v>
      </c>
      <c r="B51" s="8" t="s">
        <v>11</v>
      </c>
      <c r="C51" s="8" t="s">
        <v>66</v>
      </c>
      <c r="D51" s="8" t="s">
        <v>220</v>
      </c>
      <c r="E51" s="8" t="s">
        <v>223</v>
      </c>
      <c r="F51" s="8" t="s">
        <v>227</v>
      </c>
      <c r="G51" s="8" t="s">
        <v>233</v>
      </c>
      <c r="H51" s="8">
        <v>20</v>
      </c>
      <c r="I51" s="8">
        <v>3</v>
      </c>
      <c r="J51" s="8" t="s">
        <v>235</v>
      </c>
    </row>
    <row r="52" spans="1:10" ht="30" customHeight="1" x14ac:dyDescent="0.35">
      <c r="A52" s="7">
        <v>46282.613067129627</v>
      </c>
      <c r="B52" s="8" t="s">
        <v>15</v>
      </c>
      <c r="C52" s="8" t="s">
        <v>67</v>
      </c>
      <c r="D52" s="8" t="s">
        <v>217</v>
      </c>
      <c r="E52" s="8" t="s">
        <v>223</v>
      </c>
      <c r="F52" s="8" t="s">
        <v>227</v>
      </c>
      <c r="G52" s="8" t="s">
        <v>232</v>
      </c>
      <c r="H52" s="8">
        <v>20</v>
      </c>
      <c r="I52" s="8">
        <v>3</v>
      </c>
      <c r="J52" s="8" t="s">
        <v>235</v>
      </c>
    </row>
    <row r="53" spans="1:10" ht="30" customHeight="1" x14ac:dyDescent="0.35">
      <c r="A53" s="7">
        <v>46291.211053240739</v>
      </c>
      <c r="B53" s="8" t="s">
        <v>15</v>
      </c>
      <c r="C53" s="8" t="s">
        <v>68</v>
      </c>
      <c r="D53" s="8" t="s">
        <v>220</v>
      </c>
      <c r="E53" s="8" t="s">
        <v>222</v>
      </c>
      <c r="F53" s="8" t="s">
        <v>226</v>
      </c>
      <c r="G53" s="8" t="s">
        <v>233</v>
      </c>
      <c r="H53" s="8">
        <v>29</v>
      </c>
      <c r="I53" s="8">
        <v>3</v>
      </c>
      <c r="J53" s="8" t="s">
        <v>237</v>
      </c>
    </row>
    <row r="54" spans="1:10" ht="30" customHeight="1" x14ac:dyDescent="0.35">
      <c r="A54" s="7">
        <v>46266.728645833333</v>
      </c>
      <c r="B54" s="8" t="s">
        <v>10</v>
      </c>
      <c r="C54" s="8" t="s">
        <v>69</v>
      </c>
      <c r="D54" s="8" t="s">
        <v>219</v>
      </c>
      <c r="E54" s="8" t="s">
        <v>222</v>
      </c>
      <c r="F54" s="8" t="s">
        <v>226</v>
      </c>
      <c r="G54" s="8" t="s">
        <v>231</v>
      </c>
      <c r="H54" s="8">
        <v>20</v>
      </c>
      <c r="I54" s="8">
        <v>3</v>
      </c>
      <c r="J54" s="8" t="s">
        <v>238</v>
      </c>
    </row>
    <row r="55" spans="1:10" ht="30" customHeight="1" x14ac:dyDescent="0.35">
      <c r="A55" s="7">
        <v>46284.361805555563</v>
      </c>
      <c r="B55" s="8" t="s">
        <v>9</v>
      </c>
      <c r="C55" s="8" t="s">
        <v>70</v>
      </c>
      <c r="D55" s="8" t="s">
        <v>220</v>
      </c>
      <c r="E55" s="8" t="s">
        <v>222</v>
      </c>
      <c r="F55" s="8" t="s">
        <v>229</v>
      </c>
      <c r="G55" s="8" t="s">
        <v>234</v>
      </c>
      <c r="H55" s="8">
        <v>32</v>
      </c>
      <c r="I55" s="8">
        <v>4</v>
      </c>
      <c r="J55" s="8" t="s">
        <v>236</v>
      </c>
    </row>
    <row r="56" spans="1:10" ht="30" customHeight="1" x14ac:dyDescent="0.35">
      <c r="A56" s="7">
        <v>46283.050254629627</v>
      </c>
      <c r="B56" s="8" t="s">
        <v>16</v>
      </c>
      <c r="C56" s="8" t="s">
        <v>71</v>
      </c>
      <c r="D56" s="8" t="s">
        <v>220</v>
      </c>
      <c r="E56" s="8" t="s">
        <v>224</v>
      </c>
      <c r="F56" s="8" t="s">
        <v>227</v>
      </c>
      <c r="G56" s="8" t="s">
        <v>231</v>
      </c>
      <c r="H56" s="8">
        <v>46</v>
      </c>
      <c r="I56" s="8">
        <v>2</v>
      </c>
      <c r="J56" s="8" t="s">
        <v>238</v>
      </c>
    </row>
    <row r="57" spans="1:10" ht="30" customHeight="1" x14ac:dyDescent="0.35">
      <c r="A57" s="7">
        <v>46276.638194444437</v>
      </c>
      <c r="B57" s="8" t="s">
        <v>16</v>
      </c>
      <c r="C57" s="8" t="s">
        <v>72</v>
      </c>
      <c r="D57" s="8" t="s">
        <v>220</v>
      </c>
      <c r="E57" s="8" t="s">
        <v>223</v>
      </c>
      <c r="F57" s="8" t="s">
        <v>227</v>
      </c>
      <c r="G57" s="8" t="s">
        <v>232</v>
      </c>
      <c r="H57" s="8">
        <v>16</v>
      </c>
      <c r="I57" s="8">
        <v>5</v>
      </c>
      <c r="J57" s="8" t="s">
        <v>236</v>
      </c>
    </row>
    <row r="58" spans="1:10" ht="30" customHeight="1" x14ac:dyDescent="0.35">
      <c r="A58" s="7">
        <v>46286.402013888888</v>
      </c>
      <c r="B58" s="8" t="s">
        <v>16</v>
      </c>
      <c r="C58" s="8" t="s">
        <v>73</v>
      </c>
      <c r="D58" s="8" t="s">
        <v>218</v>
      </c>
      <c r="E58" s="8" t="s">
        <v>223</v>
      </c>
      <c r="F58" s="8" t="s">
        <v>226</v>
      </c>
      <c r="G58" s="8" t="s">
        <v>230</v>
      </c>
      <c r="H58" s="8">
        <v>20</v>
      </c>
      <c r="I58" s="8">
        <v>3</v>
      </c>
      <c r="J58" s="8" t="s">
        <v>235</v>
      </c>
    </row>
    <row r="59" spans="1:10" ht="30" customHeight="1" x14ac:dyDescent="0.35">
      <c r="A59" s="7">
        <v>46280.281412037039</v>
      </c>
      <c r="B59" s="8" t="s">
        <v>16</v>
      </c>
      <c r="C59" s="8" t="s">
        <v>74</v>
      </c>
      <c r="D59" s="8" t="s">
        <v>220</v>
      </c>
      <c r="E59" s="8" t="s">
        <v>224</v>
      </c>
      <c r="F59" s="8" t="s">
        <v>229</v>
      </c>
      <c r="G59" s="8" t="s">
        <v>233</v>
      </c>
      <c r="H59" s="8">
        <v>37</v>
      </c>
      <c r="I59" s="8">
        <v>1</v>
      </c>
      <c r="J59" s="8" t="s">
        <v>238</v>
      </c>
    </row>
    <row r="60" spans="1:10" ht="30" customHeight="1" x14ac:dyDescent="0.35">
      <c r="A60" s="7">
        <v>46291.065324074072</v>
      </c>
      <c r="B60" s="8" t="s">
        <v>15</v>
      </c>
      <c r="C60" s="8" t="s">
        <v>75</v>
      </c>
      <c r="D60" s="8" t="s">
        <v>217</v>
      </c>
      <c r="E60" s="8" t="s">
        <v>222</v>
      </c>
      <c r="F60" s="8" t="s">
        <v>227</v>
      </c>
      <c r="G60" s="8" t="s">
        <v>234</v>
      </c>
      <c r="H60" s="8">
        <v>54</v>
      </c>
      <c r="I60" s="8">
        <v>5</v>
      </c>
      <c r="J60" s="8" t="s">
        <v>236</v>
      </c>
    </row>
    <row r="61" spans="1:10" ht="30" customHeight="1" x14ac:dyDescent="0.35">
      <c r="A61" s="7">
        <v>46279.989953703713</v>
      </c>
      <c r="B61" s="8" t="s">
        <v>10</v>
      </c>
      <c r="C61" s="8" t="s">
        <v>76</v>
      </c>
      <c r="D61" s="8" t="s">
        <v>219</v>
      </c>
      <c r="E61" s="8" t="s">
        <v>224</v>
      </c>
      <c r="F61" s="8" t="s">
        <v>226</v>
      </c>
      <c r="G61" s="8" t="s">
        <v>233</v>
      </c>
      <c r="H61" s="8">
        <v>29</v>
      </c>
      <c r="I61" s="8">
        <v>3</v>
      </c>
      <c r="J61" s="8" t="s">
        <v>237</v>
      </c>
    </row>
    <row r="62" spans="1:10" ht="30" customHeight="1" x14ac:dyDescent="0.35">
      <c r="A62" s="7">
        <v>46290.628136574072</v>
      </c>
      <c r="B62" s="8" t="s">
        <v>13</v>
      </c>
      <c r="C62" s="8" t="s">
        <v>77</v>
      </c>
      <c r="D62" s="8" t="s">
        <v>219</v>
      </c>
      <c r="E62" s="8" t="s">
        <v>222</v>
      </c>
      <c r="F62" s="8" t="s">
        <v>226</v>
      </c>
      <c r="G62" s="8" t="s">
        <v>232</v>
      </c>
      <c r="H62" s="8">
        <v>55</v>
      </c>
      <c r="I62" s="8">
        <v>1</v>
      </c>
      <c r="J62" s="8" t="s">
        <v>237</v>
      </c>
    </row>
    <row r="63" spans="1:10" ht="30" customHeight="1" x14ac:dyDescent="0.35">
      <c r="A63" s="7">
        <v>46280.135682870372</v>
      </c>
      <c r="B63" s="8" t="s">
        <v>13</v>
      </c>
      <c r="C63" s="8" t="s">
        <v>78</v>
      </c>
      <c r="D63" s="8" t="s">
        <v>220</v>
      </c>
      <c r="E63" s="8" t="s">
        <v>222</v>
      </c>
      <c r="F63" s="8" t="s">
        <v>227</v>
      </c>
      <c r="G63" s="8" t="s">
        <v>233</v>
      </c>
      <c r="H63" s="8">
        <v>20</v>
      </c>
      <c r="I63" s="8">
        <v>3</v>
      </c>
      <c r="J63" s="8" t="s">
        <v>238</v>
      </c>
    </row>
    <row r="64" spans="1:10" ht="30" customHeight="1" x14ac:dyDescent="0.35">
      <c r="A64" s="7">
        <v>46270.517592592587</v>
      </c>
      <c r="B64" s="8" t="s">
        <v>10</v>
      </c>
      <c r="C64" s="8" t="s">
        <v>79</v>
      </c>
      <c r="D64" s="8" t="s">
        <v>218</v>
      </c>
      <c r="E64" s="8" t="s">
        <v>224</v>
      </c>
      <c r="F64" s="8" t="s">
        <v>226</v>
      </c>
      <c r="G64" s="8" t="s">
        <v>234</v>
      </c>
      <c r="H64" s="8">
        <v>7</v>
      </c>
      <c r="I64" s="8">
        <v>4</v>
      </c>
      <c r="J64" s="8" t="s">
        <v>238</v>
      </c>
    </row>
    <row r="65" spans="1:10" ht="30" customHeight="1" x14ac:dyDescent="0.35">
      <c r="A65" s="7">
        <v>46267.748738425929</v>
      </c>
      <c r="B65" s="8" t="s">
        <v>16</v>
      </c>
      <c r="C65" s="8" t="s">
        <v>80</v>
      </c>
      <c r="D65" s="8" t="s">
        <v>218</v>
      </c>
      <c r="E65" s="8" t="s">
        <v>222</v>
      </c>
      <c r="F65" s="8" t="s">
        <v>229</v>
      </c>
      <c r="G65" s="8" t="s">
        <v>232</v>
      </c>
      <c r="H65" s="8">
        <v>7</v>
      </c>
      <c r="I65" s="8">
        <v>4</v>
      </c>
      <c r="J65" s="8" t="s">
        <v>235</v>
      </c>
    </row>
    <row r="66" spans="1:10" ht="30" customHeight="1" x14ac:dyDescent="0.35">
      <c r="A66" s="7">
        <v>46271.100497685176</v>
      </c>
      <c r="B66" s="8" t="s">
        <v>10</v>
      </c>
      <c r="C66" s="8" t="s">
        <v>81</v>
      </c>
      <c r="D66" s="8" t="s">
        <v>217</v>
      </c>
      <c r="E66" s="8" t="s">
        <v>222</v>
      </c>
      <c r="F66" s="8" t="s">
        <v>226</v>
      </c>
      <c r="G66" s="8" t="s">
        <v>233</v>
      </c>
      <c r="H66" s="8">
        <v>20</v>
      </c>
      <c r="I66" s="8">
        <v>3</v>
      </c>
      <c r="J66" s="8" t="s">
        <v>238</v>
      </c>
    </row>
    <row r="67" spans="1:10" ht="30" customHeight="1" x14ac:dyDescent="0.35">
      <c r="A67" s="7">
        <v>46283.34171296296</v>
      </c>
      <c r="B67" s="8" t="s">
        <v>13</v>
      </c>
      <c r="C67" s="8" t="s">
        <v>82</v>
      </c>
      <c r="D67" s="8" t="s">
        <v>220</v>
      </c>
      <c r="E67" s="8" t="s">
        <v>224</v>
      </c>
      <c r="F67" s="8" t="s">
        <v>229</v>
      </c>
      <c r="G67" s="8" t="s">
        <v>230</v>
      </c>
      <c r="H67" s="8">
        <v>20</v>
      </c>
      <c r="I67" s="8">
        <v>3</v>
      </c>
      <c r="J67" s="8" t="s">
        <v>235</v>
      </c>
    </row>
    <row r="68" spans="1:10" ht="30" customHeight="1" x14ac:dyDescent="0.35">
      <c r="A68" s="7">
        <v>46272.12060185185</v>
      </c>
      <c r="B68" s="8" t="s">
        <v>16</v>
      </c>
      <c r="C68" s="8" t="s">
        <v>83</v>
      </c>
      <c r="D68" s="8" t="s">
        <v>219</v>
      </c>
      <c r="E68" s="8" t="s">
        <v>222</v>
      </c>
      <c r="F68" s="8" t="s">
        <v>227</v>
      </c>
      <c r="G68" s="8" t="s">
        <v>232</v>
      </c>
      <c r="H68" s="8">
        <v>19</v>
      </c>
      <c r="I68" s="8">
        <v>5</v>
      </c>
      <c r="J68" s="8" t="s">
        <v>235</v>
      </c>
    </row>
    <row r="69" spans="1:10" ht="30" customHeight="1" x14ac:dyDescent="0.35">
      <c r="A69" s="7">
        <v>46293.542708333327</v>
      </c>
      <c r="B69" s="8" t="s">
        <v>11</v>
      </c>
      <c r="C69" s="8" t="s">
        <v>84</v>
      </c>
      <c r="D69" s="8" t="s">
        <v>218</v>
      </c>
      <c r="E69" s="8" t="s">
        <v>222</v>
      </c>
      <c r="F69" s="8" t="s">
        <v>226</v>
      </c>
      <c r="G69" s="8" t="s">
        <v>232</v>
      </c>
      <c r="H69" s="8">
        <v>19</v>
      </c>
      <c r="I69" s="8">
        <v>5</v>
      </c>
      <c r="J69" s="8" t="s">
        <v>237</v>
      </c>
    </row>
    <row r="70" spans="1:10" ht="30" customHeight="1" x14ac:dyDescent="0.35">
      <c r="A70" s="7">
        <v>46279.115578703713</v>
      </c>
      <c r="B70" s="8" t="s">
        <v>10</v>
      </c>
      <c r="C70" s="8" t="s">
        <v>85</v>
      </c>
      <c r="D70" s="8" t="s">
        <v>220</v>
      </c>
      <c r="E70" s="8" t="s">
        <v>222</v>
      </c>
      <c r="F70" s="8" t="s">
        <v>229</v>
      </c>
      <c r="G70" s="8" t="s">
        <v>230</v>
      </c>
      <c r="H70" s="8">
        <v>36</v>
      </c>
      <c r="I70" s="8">
        <v>5</v>
      </c>
      <c r="J70" s="8" t="s">
        <v>237</v>
      </c>
    </row>
    <row r="71" spans="1:10" ht="30" customHeight="1" x14ac:dyDescent="0.35">
      <c r="A71" s="7">
        <v>46285.819097222222</v>
      </c>
      <c r="B71" s="8" t="s">
        <v>14</v>
      </c>
      <c r="C71" s="8" t="s">
        <v>86</v>
      </c>
      <c r="D71" s="8" t="s">
        <v>218</v>
      </c>
      <c r="E71" s="8" t="s">
        <v>223</v>
      </c>
      <c r="F71" s="8" t="s">
        <v>227</v>
      </c>
      <c r="G71" s="8" t="s">
        <v>231</v>
      </c>
      <c r="H71" s="8">
        <v>29</v>
      </c>
      <c r="I71" s="8">
        <v>3</v>
      </c>
      <c r="J71" s="8" t="s">
        <v>236</v>
      </c>
    </row>
    <row r="72" spans="1:10" ht="30" customHeight="1" x14ac:dyDescent="0.35">
      <c r="A72" s="7">
        <v>46273.432164351849</v>
      </c>
      <c r="B72" s="8" t="s">
        <v>10</v>
      </c>
      <c r="C72" s="8" t="s">
        <v>87</v>
      </c>
      <c r="D72" s="8" t="s">
        <v>218</v>
      </c>
      <c r="E72" s="8" t="s">
        <v>222</v>
      </c>
      <c r="F72" s="8" t="s">
        <v>226</v>
      </c>
      <c r="G72" s="8" t="s">
        <v>234</v>
      </c>
      <c r="H72" s="8">
        <v>4</v>
      </c>
      <c r="I72" s="8">
        <v>3</v>
      </c>
      <c r="J72" s="8" t="s">
        <v>237</v>
      </c>
    </row>
    <row r="73" spans="1:10" ht="30" customHeight="1" x14ac:dyDescent="0.35">
      <c r="A73" s="7">
        <v>46284.507534722223</v>
      </c>
      <c r="B73" s="8" t="s">
        <v>13</v>
      </c>
      <c r="C73" s="8" t="s">
        <v>88</v>
      </c>
      <c r="D73" s="8" t="s">
        <v>219</v>
      </c>
      <c r="E73" s="8" t="s">
        <v>222</v>
      </c>
      <c r="F73" s="8" t="s">
        <v>226</v>
      </c>
      <c r="G73" s="8" t="s">
        <v>231</v>
      </c>
      <c r="H73" s="8">
        <v>36</v>
      </c>
      <c r="I73" s="8">
        <v>3</v>
      </c>
      <c r="J73" s="8" t="s">
        <v>237</v>
      </c>
    </row>
    <row r="74" spans="1:10" ht="30" customHeight="1" x14ac:dyDescent="0.35">
      <c r="A74" s="7">
        <v>46289.608043981483</v>
      </c>
      <c r="B74" s="8" t="s">
        <v>10</v>
      </c>
      <c r="C74" s="8" t="s">
        <v>89</v>
      </c>
      <c r="D74" s="8" t="s">
        <v>221</v>
      </c>
      <c r="E74" s="8" t="s">
        <v>224</v>
      </c>
      <c r="F74" s="8" t="s">
        <v>227</v>
      </c>
      <c r="G74" s="8" t="s">
        <v>233</v>
      </c>
      <c r="H74" s="8">
        <v>1</v>
      </c>
      <c r="I74" s="8">
        <v>5</v>
      </c>
      <c r="J74" s="8" t="s">
        <v>238</v>
      </c>
    </row>
    <row r="75" spans="1:10" ht="30" customHeight="1" x14ac:dyDescent="0.35">
      <c r="A75" s="7">
        <v>46271.974872685183</v>
      </c>
      <c r="B75" s="8" t="s">
        <v>12</v>
      </c>
      <c r="C75" s="8" t="s">
        <v>90</v>
      </c>
      <c r="D75" s="8" t="s">
        <v>217</v>
      </c>
      <c r="E75" s="8" t="s">
        <v>222</v>
      </c>
      <c r="F75" s="8" t="s">
        <v>227</v>
      </c>
      <c r="G75" s="8" t="s">
        <v>230</v>
      </c>
      <c r="H75" s="8">
        <v>36</v>
      </c>
      <c r="I75" s="8">
        <v>3</v>
      </c>
      <c r="J75" s="8" t="s">
        <v>237</v>
      </c>
    </row>
    <row r="76" spans="1:10" ht="30" customHeight="1" x14ac:dyDescent="0.35">
      <c r="A76" s="7">
        <v>46283.195983796293</v>
      </c>
      <c r="B76" s="8" t="s">
        <v>13</v>
      </c>
      <c r="C76" s="8" t="s">
        <v>91</v>
      </c>
      <c r="D76" s="8" t="s">
        <v>217</v>
      </c>
      <c r="E76" s="8" t="s">
        <v>225</v>
      </c>
      <c r="F76" s="8" t="s">
        <v>227</v>
      </c>
      <c r="G76" s="8" t="s">
        <v>231</v>
      </c>
      <c r="H76" s="8">
        <v>69</v>
      </c>
      <c r="I76" s="8">
        <v>1</v>
      </c>
      <c r="J76" s="8" t="s">
        <v>236</v>
      </c>
    </row>
    <row r="77" spans="1:10" ht="30" customHeight="1" x14ac:dyDescent="0.35">
      <c r="A77" s="7">
        <v>46282.46733796296</v>
      </c>
      <c r="B77" s="8" t="s">
        <v>14</v>
      </c>
      <c r="C77" s="8" t="s">
        <v>92</v>
      </c>
      <c r="D77" s="8" t="s">
        <v>219</v>
      </c>
      <c r="E77" s="8" t="s">
        <v>222</v>
      </c>
      <c r="F77" s="8" t="s">
        <v>227</v>
      </c>
      <c r="G77" s="8" t="s">
        <v>232</v>
      </c>
      <c r="H77" s="8">
        <v>20</v>
      </c>
      <c r="I77" s="8">
        <v>4</v>
      </c>
      <c r="J77" s="8" t="s">
        <v>238</v>
      </c>
    </row>
    <row r="78" spans="1:10" ht="30" customHeight="1" x14ac:dyDescent="0.35">
      <c r="A78" s="7">
        <v>46269.788946759261</v>
      </c>
      <c r="B78" s="8" t="s">
        <v>13</v>
      </c>
      <c r="C78" s="8" t="s">
        <v>93</v>
      </c>
      <c r="D78" s="8" t="s">
        <v>218</v>
      </c>
      <c r="E78" s="8" t="s">
        <v>224</v>
      </c>
      <c r="F78" s="8" t="s">
        <v>227</v>
      </c>
      <c r="G78" s="8" t="s">
        <v>233</v>
      </c>
      <c r="H78" s="8">
        <v>11</v>
      </c>
      <c r="I78" s="8">
        <v>4</v>
      </c>
      <c r="J78" s="8" t="s">
        <v>236</v>
      </c>
    </row>
    <row r="79" spans="1:10" ht="30" customHeight="1" x14ac:dyDescent="0.35">
      <c r="A79" s="7">
        <v>46286.256284722222</v>
      </c>
      <c r="B79" s="8" t="s">
        <v>11</v>
      </c>
      <c r="C79" s="8" t="s">
        <v>94</v>
      </c>
      <c r="D79" s="8" t="s">
        <v>220</v>
      </c>
      <c r="E79" s="8" t="s">
        <v>222</v>
      </c>
      <c r="F79" s="8" t="s">
        <v>229</v>
      </c>
      <c r="G79" s="8" t="s">
        <v>233</v>
      </c>
      <c r="H79" s="8">
        <v>29</v>
      </c>
      <c r="I79" s="8">
        <v>3</v>
      </c>
      <c r="J79" s="8" t="s">
        <v>237</v>
      </c>
    </row>
    <row r="80" spans="1:10" ht="30" customHeight="1" x14ac:dyDescent="0.35">
      <c r="A80" s="7">
        <v>46280.572858796288</v>
      </c>
      <c r="B80" s="8" t="s">
        <v>14</v>
      </c>
      <c r="C80" s="8" t="s">
        <v>95</v>
      </c>
      <c r="D80" s="8" t="s">
        <v>218</v>
      </c>
      <c r="E80" s="8" t="s">
        <v>224</v>
      </c>
      <c r="F80" s="8" t="s">
        <v>228</v>
      </c>
      <c r="G80" s="8" t="s">
        <v>231</v>
      </c>
      <c r="H80" s="8">
        <v>67</v>
      </c>
      <c r="I80" s="8">
        <v>4</v>
      </c>
      <c r="J80" s="8" t="s">
        <v>236</v>
      </c>
    </row>
    <row r="81" spans="1:10" ht="30" customHeight="1" x14ac:dyDescent="0.35">
      <c r="A81" s="7">
        <v>46282.175879629627</v>
      </c>
      <c r="B81" s="8" t="s">
        <v>10</v>
      </c>
      <c r="C81" s="8" t="s">
        <v>96</v>
      </c>
      <c r="D81" s="8" t="s">
        <v>219</v>
      </c>
      <c r="E81" s="8" t="s">
        <v>223</v>
      </c>
      <c r="F81" s="8" t="s">
        <v>227</v>
      </c>
      <c r="G81" s="8" t="s">
        <v>231</v>
      </c>
      <c r="H81" s="8">
        <v>12</v>
      </c>
      <c r="I81" s="8">
        <v>5</v>
      </c>
      <c r="J81" s="8" t="s">
        <v>238</v>
      </c>
    </row>
    <row r="82" spans="1:10" ht="30" customHeight="1" x14ac:dyDescent="0.35">
      <c r="A82" s="7">
        <v>46266.291458333333</v>
      </c>
      <c r="B82" s="8" t="s">
        <v>12</v>
      </c>
      <c r="C82" s="8" t="s">
        <v>97</v>
      </c>
      <c r="D82" s="8" t="s">
        <v>217</v>
      </c>
      <c r="E82" s="8" t="s">
        <v>223</v>
      </c>
      <c r="F82" s="8" t="s">
        <v>227</v>
      </c>
      <c r="G82" s="8" t="s">
        <v>230</v>
      </c>
      <c r="H82" s="8">
        <v>20</v>
      </c>
      <c r="I82" s="8">
        <v>5</v>
      </c>
      <c r="J82" s="8" t="s">
        <v>235</v>
      </c>
    </row>
    <row r="83" spans="1:10" ht="30" customHeight="1" x14ac:dyDescent="0.35">
      <c r="A83" s="7">
        <v>46277.22111111111</v>
      </c>
      <c r="B83" s="8" t="s">
        <v>15</v>
      </c>
      <c r="C83" s="8" t="s">
        <v>98</v>
      </c>
      <c r="D83" s="8" t="s">
        <v>218</v>
      </c>
      <c r="E83" s="8" t="s">
        <v>223</v>
      </c>
      <c r="F83" s="8" t="s">
        <v>227</v>
      </c>
      <c r="G83" s="8" t="s">
        <v>234</v>
      </c>
      <c r="H83" s="8">
        <v>5</v>
      </c>
      <c r="I83" s="8">
        <v>3</v>
      </c>
      <c r="J83" s="8" t="s">
        <v>236</v>
      </c>
    </row>
    <row r="84" spans="1:10" ht="30" customHeight="1" x14ac:dyDescent="0.35">
      <c r="A84" s="7">
        <v>46272.703518518523</v>
      </c>
      <c r="B84" s="8" t="s">
        <v>15</v>
      </c>
      <c r="C84" s="8" t="s">
        <v>99</v>
      </c>
      <c r="D84" s="8" t="s">
        <v>217</v>
      </c>
      <c r="E84" s="8" t="s">
        <v>224</v>
      </c>
      <c r="F84" s="8" t="s">
        <v>228</v>
      </c>
      <c r="G84" s="8" t="s">
        <v>231</v>
      </c>
      <c r="H84" s="8">
        <v>22</v>
      </c>
      <c r="I84" s="8">
        <v>3</v>
      </c>
      <c r="J84" s="8" t="s">
        <v>236</v>
      </c>
    </row>
    <row r="85" spans="1:10" ht="30" customHeight="1" x14ac:dyDescent="0.35">
      <c r="A85" s="7">
        <v>46293.251261574071</v>
      </c>
      <c r="B85" s="8" t="s">
        <v>13</v>
      </c>
      <c r="C85" s="8" t="s">
        <v>100</v>
      </c>
      <c r="D85" s="8" t="s">
        <v>220</v>
      </c>
      <c r="E85" s="8" t="s">
        <v>223</v>
      </c>
      <c r="F85" s="8" t="s">
        <v>229</v>
      </c>
      <c r="G85" s="8" t="s">
        <v>231</v>
      </c>
      <c r="H85" s="8">
        <v>36</v>
      </c>
      <c r="I85" s="8">
        <v>3</v>
      </c>
      <c r="J85" s="8" t="s">
        <v>238</v>
      </c>
    </row>
    <row r="86" spans="1:10" ht="30" customHeight="1" x14ac:dyDescent="0.35">
      <c r="A86" s="7">
        <v>46293.834166666667</v>
      </c>
      <c r="B86" s="8" t="s">
        <v>15</v>
      </c>
      <c r="C86" s="8" t="s">
        <v>101</v>
      </c>
      <c r="D86" s="8" t="s">
        <v>217</v>
      </c>
      <c r="E86" s="8" t="s">
        <v>222</v>
      </c>
      <c r="F86" s="8" t="s">
        <v>227</v>
      </c>
      <c r="G86" s="8" t="s">
        <v>232</v>
      </c>
      <c r="H86" s="8">
        <v>9</v>
      </c>
      <c r="I86" s="8">
        <v>3</v>
      </c>
      <c r="J86" s="8" t="s">
        <v>238</v>
      </c>
    </row>
    <row r="87" spans="1:10" ht="30" customHeight="1" x14ac:dyDescent="0.35">
      <c r="A87" s="7">
        <v>46278.386932870373</v>
      </c>
      <c r="B87" s="8" t="s">
        <v>13</v>
      </c>
      <c r="C87" s="8" t="s">
        <v>102</v>
      </c>
      <c r="D87" s="8" t="s">
        <v>217</v>
      </c>
      <c r="E87" s="8" t="s">
        <v>224</v>
      </c>
      <c r="F87" s="8" t="s">
        <v>227</v>
      </c>
      <c r="G87" s="8" t="s">
        <v>233</v>
      </c>
      <c r="H87" s="8">
        <v>22</v>
      </c>
      <c r="I87" s="8">
        <v>3</v>
      </c>
      <c r="J87" s="8" t="s">
        <v>236</v>
      </c>
    </row>
    <row r="88" spans="1:10" ht="30" customHeight="1" x14ac:dyDescent="0.35">
      <c r="A88" s="7">
        <v>46289.462314814817</v>
      </c>
      <c r="B88" s="8" t="s">
        <v>9</v>
      </c>
      <c r="C88" s="8" t="s">
        <v>103</v>
      </c>
      <c r="D88" s="8" t="s">
        <v>221</v>
      </c>
      <c r="E88" s="8" t="s">
        <v>224</v>
      </c>
      <c r="F88" s="8" t="s">
        <v>227</v>
      </c>
      <c r="G88" s="8" t="s">
        <v>234</v>
      </c>
      <c r="H88" s="8">
        <v>29</v>
      </c>
      <c r="I88" s="8">
        <v>3</v>
      </c>
      <c r="J88" s="8" t="s">
        <v>237</v>
      </c>
    </row>
    <row r="89" spans="1:10" ht="30" customHeight="1" x14ac:dyDescent="0.35">
      <c r="A89" s="7">
        <v>46271.24622685185</v>
      </c>
      <c r="B89" s="8" t="s">
        <v>14</v>
      </c>
      <c r="C89" s="8" t="s">
        <v>104</v>
      </c>
      <c r="D89" s="8" t="s">
        <v>221</v>
      </c>
      <c r="E89" s="8" t="s">
        <v>222</v>
      </c>
      <c r="F89" s="8" t="s">
        <v>229</v>
      </c>
      <c r="G89" s="8" t="s">
        <v>232</v>
      </c>
      <c r="H89" s="8">
        <v>9</v>
      </c>
      <c r="I89" s="8">
        <v>3</v>
      </c>
      <c r="J89" s="8" t="s">
        <v>236</v>
      </c>
    </row>
    <row r="90" spans="1:10" ht="30" customHeight="1" x14ac:dyDescent="0.35">
      <c r="A90" s="7">
        <v>46293.688437500001</v>
      </c>
      <c r="B90" s="8" t="s">
        <v>15</v>
      </c>
      <c r="C90" s="8" t="s">
        <v>105</v>
      </c>
      <c r="D90" s="8" t="s">
        <v>221</v>
      </c>
      <c r="E90" s="8" t="s">
        <v>222</v>
      </c>
      <c r="F90" s="8" t="s">
        <v>226</v>
      </c>
      <c r="G90" s="8" t="s">
        <v>230</v>
      </c>
      <c r="H90" s="8">
        <v>9</v>
      </c>
      <c r="I90" s="8">
        <v>3</v>
      </c>
      <c r="J90" s="8" t="s">
        <v>238</v>
      </c>
    </row>
    <row r="91" spans="1:10" ht="30" customHeight="1" x14ac:dyDescent="0.35">
      <c r="A91" s="7">
        <v>46274.889444444438</v>
      </c>
      <c r="B91" s="8" t="s">
        <v>11</v>
      </c>
      <c r="C91" s="8" t="s">
        <v>106</v>
      </c>
      <c r="D91" s="8" t="s">
        <v>217</v>
      </c>
      <c r="E91" s="8" t="s">
        <v>222</v>
      </c>
      <c r="F91" s="8" t="s">
        <v>228</v>
      </c>
      <c r="G91" s="8" t="s">
        <v>230</v>
      </c>
      <c r="H91" s="8">
        <v>29</v>
      </c>
      <c r="I91" s="8">
        <v>3</v>
      </c>
      <c r="J91" s="8" t="s">
        <v>235</v>
      </c>
    </row>
    <row r="92" spans="1:10" ht="30" customHeight="1" x14ac:dyDescent="0.35">
      <c r="A92" s="7">
        <v>46269.206030092602</v>
      </c>
      <c r="B92" s="8" t="s">
        <v>11</v>
      </c>
      <c r="C92" s="8" t="s">
        <v>107</v>
      </c>
      <c r="D92" s="8" t="s">
        <v>219</v>
      </c>
      <c r="E92" s="8" t="s">
        <v>224</v>
      </c>
      <c r="F92" s="8" t="s">
        <v>227</v>
      </c>
      <c r="G92" s="8" t="s">
        <v>231</v>
      </c>
      <c r="H92" s="8">
        <v>14</v>
      </c>
      <c r="I92" s="8">
        <v>2</v>
      </c>
      <c r="J92" s="8" t="s">
        <v>235</v>
      </c>
    </row>
    <row r="93" spans="1:10" ht="30" customHeight="1" x14ac:dyDescent="0.35">
      <c r="A93" s="7">
        <v>46286.547743055547</v>
      </c>
      <c r="B93" s="8" t="s">
        <v>16</v>
      </c>
      <c r="C93" s="8" t="s">
        <v>108</v>
      </c>
      <c r="D93" s="8" t="s">
        <v>217</v>
      </c>
      <c r="E93" s="8" t="s">
        <v>224</v>
      </c>
      <c r="F93" s="8" t="s">
        <v>227</v>
      </c>
      <c r="G93" s="8" t="s">
        <v>231</v>
      </c>
      <c r="H93" s="8">
        <v>22</v>
      </c>
      <c r="I93" s="8">
        <v>3</v>
      </c>
      <c r="J93" s="8" t="s">
        <v>237</v>
      </c>
    </row>
    <row r="94" spans="1:10" ht="30" customHeight="1" x14ac:dyDescent="0.35">
      <c r="A94" s="7">
        <v>46280.718587962961</v>
      </c>
      <c r="B94" s="8" t="s">
        <v>15</v>
      </c>
      <c r="C94" s="8" t="s">
        <v>109</v>
      </c>
      <c r="D94" s="8" t="s">
        <v>219</v>
      </c>
      <c r="E94" s="8" t="s">
        <v>223</v>
      </c>
      <c r="F94" s="8" t="s">
        <v>228</v>
      </c>
      <c r="G94" s="8" t="s">
        <v>230</v>
      </c>
      <c r="H94" s="8">
        <v>22</v>
      </c>
      <c r="I94" s="8">
        <v>3</v>
      </c>
      <c r="J94" s="8" t="s">
        <v>236</v>
      </c>
    </row>
    <row r="95" spans="1:10" ht="30" customHeight="1" x14ac:dyDescent="0.35">
      <c r="A95" s="7">
        <v>46270.809050925927</v>
      </c>
      <c r="B95" s="8" t="s">
        <v>16</v>
      </c>
      <c r="C95" s="8" t="s">
        <v>110</v>
      </c>
      <c r="D95" s="8" t="s">
        <v>219</v>
      </c>
      <c r="E95" s="8" t="s">
        <v>224</v>
      </c>
      <c r="F95" s="8" t="s">
        <v>226</v>
      </c>
      <c r="G95" s="8" t="s">
        <v>231</v>
      </c>
      <c r="H95" s="8">
        <v>66</v>
      </c>
      <c r="I95" s="8">
        <v>5</v>
      </c>
      <c r="J95" s="8" t="s">
        <v>235</v>
      </c>
    </row>
    <row r="96" spans="1:10" ht="30" customHeight="1" x14ac:dyDescent="0.35">
      <c r="A96" s="7">
        <v>46267.603020833332</v>
      </c>
      <c r="B96" s="8" t="s">
        <v>12</v>
      </c>
      <c r="C96" s="8" t="s">
        <v>111</v>
      </c>
      <c r="D96" s="8" t="s">
        <v>221</v>
      </c>
      <c r="E96" s="8" t="s">
        <v>224</v>
      </c>
      <c r="F96" s="8" t="s">
        <v>229</v>
      </c>
      <c r="G96" s="8" t="s">
        <v>234</v>
      </c>
      <c r="H96" s="8">
        <v>9</v>
      </c>
      <c r="I96" s="8">
        <v>3</v>
      </c>
      <c r="J96" s="8" t="s">
        <v>236</v>
      </c>
    </row>
    <row r="97" spans="1:10" ht="30" customHeight="1" x14ac:dyDescent="0.35">
      <c r="A97" s="7">
        <v>46294.271354166667</v>
      </c>
      <c r="B97" s="8" t="s">
        <v>16</v>
      </c>
      <c r="C97" s="8" t="s">
        <v>112</v>
      </c>
      <c r="D97" s="8" t="s">
        <v>218</v>
      </c>
      <c r="E97" s="8" t="s">
        <v>224</v>
      </c>
      <c r="F97" s="8" t="s">
        <v>227</v>
      </c>
      <c r="G97" s="8" t="s">
        <v>231</v>
      </c>
      <c r="H97" s="8">
        <v>22</v>
      </c>
      <c r="I97" s="8">
        <v>1</v>
      </c>
      <c r="J97" s="8" t="s">
        <v>238</v>
      </c>
    </row>
    <row r="98" spans="1:10" ht="30" customHeight="1" x14ac:dyDescent="0.35">
      <c r="A98" s="7">
        <v>46289.170856481483</v>
      </c>
      <c r="B98" s="8" t="s">
        <v>13</v>
      </c>
      <c r="C98" s="8" t="s">
        <v>113</v>
      </c>
      <c r="D98" s="8" t="s">
        <v>220</v>
      </c>
      <c r="E98" s="8" t="s">
        <v>223</v>
      </c>
      <c r="F98" s="8" t="s">
        <v>227</v>
      </c>
      <c r="G98" s="8" t="s">
        <v>233</v>
      </c>
      <c r="H98" s="8">
        <v>58</v>
      </c>
      <c r="I98" s="8">
        <v>3</v>
      </c>
      <c r="J98" s="8" t="s">
        <v>235</v>
      </c>
    </row>
    <row r="99" spans="1:10" ht="30" customHeight="1" x14ac:dyDescent="0.35">
      <c r="A99" s="7">
        <v>46266.874374999999</v>
      </c>
      <c r="B99" s="8" t="s">
        <v>12</v>
      </c>
      <c r="C99" s="8" t="s">
        <v>114</v>
      </c>
      <c r="D99" s="8" t="s">
        <v>221</v>
      </c>
      <c r="E99" s="8" t="s">
        <v>223</v>
      </c>
      <c r="F99" s="8" t="s">
        <v>227</v>
      </c>
      <c r="G99" s="8" t="s">
        <v>231</v>
      </c>
      <c r="H99" s="8">
        <v>61</v>
      </c>
      <c r="I99" s="8">
        <v>3</v>
      </c>
      <c r="J99" s="8" t="s">
        <v>237</v>
      </c>
    </row>
    <row r="100" spans="1:10" ht="30" customHeight="1" x14ac:dyDescent="0.35">
      <c r="A100" s="7">
        <v>46269.934675925928</v>
      </c>
      <c r="B100" s="8" t="s">
        <v>11</v>
      </c>
      <c r="C100" s="8" t="s">
        <v>115</v>
      </c>
      <c r="D100" s="8" t="s">
        <v>221</v>
      </c>
      <c r="E100" s="8" t="s">
        <v>222</v>
      </c>
      <c r="F100" s="8" t="s">
        <v>226</v>
      </c>
      <c r="G100" s="8" t="s">
        <v>232</v>
      </c>
      <c r="H100" s="8">
        <v>58</v>
      </c>
      <c r="I100" s="8">
        <v>2</v>
      </c>
      <c r="J100" s="8" t="s">
        <v>238</v>
      </c>
    </row>
    <row r="101" spans="1:10" ht="30" customHeight="1" x14ac:dyDescent="0.35">
      <c r="A101" s="7">
        <v>46283.487442129634</v>
      </c>
      <c r="B101" s="8" t="s">
        <v>16</v>
      </c>
      <c r="C101" s="8" t="s">
        <v>116</v>
      </c>
      <c r="D101" s="8" t="s">
        <v>218</v>
      </c>
      <c r="E101" s="8" t="s">
        <v>224</v>
      </c>
      <c r="F101" s="8" t="s">
        <v>228</v>
      </c>
      <c r="G101" s="8" t="s">
        <v>234</v>
      </c>
      <c r="H101" s="8">
        <v>29</v>
      </c>
      <c r="I101" s="8">
        <v>1</v>
      </c>
      <c r="J101" s="8" t="s">
        <v>237</v>
      </c>
    </row>
    <row r="102" spans="1:10" ht="30" customHeight="1" x14ac:dyDescent="0.35">
      <c r="A102" s="7">
        <v>46266.582916666674</v>
      </c>
      <c r="B102" s="8" t="s">
        <v>12</v>
      </c>
      <c r="C102" s="8" t="s">
        <v>117</v>
      </c>
      <c r="D102" s="8" t="s">
        <v>220</v>
      </c>
      <c r="E102" s="8" t="s">
        <v>224</v>
      </c>
      <c r="F102" s="8" t="s">
        <v>228</v>
      </c>
      <c r="G102" s="8" t="s">
        <v>232</v>
      </c>
      <c r="H102" s="8">
        <v>37</v>
      </c>
      <c r="I102" s="8">
        <v>5</v>
      </c>
      <c r="J102" s="8" t="s">
        <v>238</v>
      </c>
    </row>
    <row r="103" spans="1:10" ht="30" customHeight="1" x14ac:dyDescent="0.35">
      <c r="A103" s="7">
        <v>46270.663321759261</v>
      </c>
      <c r="B103" s="8" t="s">
        <v>13</v>
      </c>
      <c r="C103" s="8" t="s">
        <v>118</v>
      </c>
      <c r="D103" s="8" t="s">
        <v>217</v>
      </c>
      <c r="E103" s="8" t="s">
        <v>222</v>
      </c>
      <c r="F103" s="8" t="s">
        <v>227</v>
      </c>
      <c r="G103" s="8" t="s">
        <v>232</v>
      </c>
      <c r="H103" s="8">
        <v>70</v>
      </c>
      <c r="I103" s="8">
        <v>3</v>
      </c>
      <c r="J103" s="8" t="s">
        <v>235</v>
      </c>
    </row>
    <row r="104" spans="1:10" ht="30" customHeight="1" x14ac:dyDescent="0.35">
      <c r="A104" s="7">
        <v>46286.693472222221</v>
      </c>
      <c r="B104" s="8" t="s">
        <v>9</v>
      </c>
      <c r="C104" s="8" t="s">
        <v>119</v>
      </c>
      <c r="D104" s="8" t="s">
        <v>217</v>
      </c>
      <c r="E104" s="8" t="s">
        <v>222</v>
      </c>
      <c r="F104" s="8" t="s">
        <v>229</v>
      </c>
      <c r="G104" s="8" t="s">
        <v>233</v>
      </c>
      <c r="H104" s="8">
        <v>18</v>
      </c>
      <c r="I104" s="8">
        <v>2</v>
      </c>
      <c r="J104" s="8" t="s">
        <v>237</v>
      </c>
    </row>
    <row r="105" spans="1:10" ht="30" customHeight="1" x14ac:dyDescent="0.35">
      <c r="A105" s="7">
        <v>46287.130648148152</v>
      </c>
      <c r="B105" s="8" t="s">
        <v>14</v>
      </c>
      <c r="C105" s="8" t="s">
        <v>120</v>
      </c>
      <c r="D105" s="8" t="s">
        <v>221</v>
      </c>
      <c r="E105" s="8" t="s">
        <v>223</v>
      </c>
      <c r="F105" s="8" t="s">
        <v>228</v>
      </c>
      <c r="G105" s="8" t="s">
        <v>234</v>
      </c>
      <c r="H105" s="8">
        <v>20</v>
      </c>
      <c r="I105" s="8">
        <v>3</v>
      </c>
      <c r="J105" s="8" t="s">
        <v>237</v>
      </c>
    </row>
    <row r="106" spans="1:10" ht="30" customHeight="1" x14ac:dyDescent="0.35">
      <c r="A106" s="7">
        <v>46281.884421296287</v>
      </c>
      <c r="B106" s="8" t="s">
        <v>16</v>
      </c>
      <c r="C106" s="8" t="s">
        <v>121</v>
      </c>
      <c r="D106" s="8" t="s">
        <v>220</v>
      </c>
      <c r="E106" s="8" t="s">
        <v>222</v>
      </c>
      <c r="F106" s="8" t="s">
        <v>226</v>
      </c>
      <c r="G106" s="8" t="s">
        <v>234</v>
      </c>
      <c r="H106" s="8">
        <v>58</v>
      </c>
      <c r="I106" s="8">
        <v>3</v>
      </c>
      <c r="J106" s="8" t="s">
        <v>238</v>
      </c>
    </row>
    <row r="107" spans="1:10" ht="30" customHeight="1" x14ac:dyDescent="0.35">
      <c r="A107" s="7">
        <v>46286.984918981478</v>
      </c>
      <c r="B107" s="8" t="s">
        <v>12</v>
      </c>
      <c r="C107" s="8" t="s">
        <v>122</v>
      </c>
      <c r="D107" s="8" t="s">
        <v>221</v>
      </c>
      <c r="E107" s="8" t="s">
        <v>222</v>
      </c>
      <c r="F107" s="8" t="s">
        <v>229</v>
      </c>
      <c r="G107" s="8" t="s">
        <v>234</v>
      </c>
      <c r="H107" s="8">
        <v>38</v>
      </c>
      <c r="I107" s="8">
        <v>2</v>
      </c>
      <c r="J107" s="8" t="s">
        <v>237</v>
      </c>
    </row>
    <row r="108" spans="1:10" ht="30" customHeight="1" x14ac:dyDescent="0.35">
      <c r="A108" s="7">
        <v>46267.457291666673</v>
      </c>
      <c r="B108" s="8" t="s">
        <v>15</v>
      </c>
      <c r="C108" s="8" t="s">
        <v>123</v>
      </c>
      <c r="D108" s="8" t="s">
        <v>219</v>
      </c>
      <c r="E108" s="8" t="s">
        <v>223</v>
      </c>
      <c r="F108" s="8" t="s">
        <v>228</v>
      </c>
      <c r="G108" s="8" t="s">
        <v>234</v>
      </c>
      <c r="H108" s="8">
        <v>34</v>
      </c>
      <c r="I108" s="8">
        <v>1</v>
      </c>
      <c r="J108" s="8" t="s">
        <v>238</v>
      </c>
    </row>
    <row r="109" spans="1:10" ht="30" customHeight="1" x14ac:dyDescent="0.35">
      <c r="A109" s="7">
        <v>46275.035173611112</v>
      </c>
      <c r="B109" s="8" t="s">
        <v>14</v>
      </c>
      <c r="C109" s="8" t="s">
        <v>124</v>
      </c>
      <c r="D109" s="8" t="s">
        <v>221</v>
      </c>
      <c r="E109" s="8" t="s">
        <v>222</v>
      </c>
      <c r="F109" s="8" t="s">
        <v>226</v>
      </c>
      <c r="G109" s="8" t="s">
        <v>234</v>
      </c>
      <c r="H109" s="8">
        <v>20</v>
      </c>
      <c r="I109" s="8">
        <v>3</v>
      </c>
      <c r="J109" s="8" t="s">
        <v>238</v>
      </c>
    </row>
    <row r="110" spans="1:10" ht="30" customHeight="1" x14ac:dyDescent="0.35">
      <c r="A110" s="7">
        <v>46282.321608796286</v>
      </c>
      <c r="B110" s="8" t="s">
        <v>16</v>
      </c>
      <c r="C110" s="8" t="s">
        <v>125</v>
      </c>
      <c r="D110" s="8" t="s">
        <v>221</v>
      </c>
      <c r="E110" s="8" t="s">
        <v>222</v>
      </c>
      <c r="F110" s="8" t="s">
        <v>227</v>
      </c>
      <c r="G110" s="8" t="s">
        <v>233</v>
      </c>
      <c r="H110" s="8">
        <v>37</v>
      </c>
      <c r="I110" s="8">
        <v>3</v>
      </c>
      <c r="J110" s="8" t="s">
        <v>238</v>
      </c>
    </row>
    <row r="111" spans="1:10" ht="30" customHeight="1" x14ac:dyDescent="0.35">
      <c r="A111" s="7">
        <v>46287.276377314818</v>
      </c>
      <c r="B111" s="8" t="s">
        <v>11</v>
      </c>
      <c r="C111" s="8" t="s">
        <v>126</v>
      </c>
      <c r="D111" s="8" t="s">
        <v>217</v>
      </c>
      <c r="E111" s="8" t="s">
        <v>223</v>
      </c>
      <c r="F111" s="8" t="s">
        <v>227</v>
      </c>
      <c r="G111" s="8" t="s">
        <v>231</v>
      </c>
      <c r="H111" s="8">
        <v>61</v>
      </c>
      <c r="I111" s="8">
        <v>3</v>
      </c>
      <c r="J111" s="8" t="s">
        <v>238</v>
      </c>
    </row>
    <row r="112" spans="1:10" ht="30" customHeight="1" x14ac:dyDescent="0.35">
      <c r="A112" s="7">
        <v>46290.190949074073</v>
      </c>
      <c r="B112" s="8" t="s">
        <v>11</v>
      </c>
      <c r="C112" s="8" t="s">
        <v>127</v>
      </c>
      <c r="D112" s="8" t="s">
        <v>217</v>
      </c>
      <c r="E112" s="8" t="s">
        <v>224</v>
      </c>
      <c r="F112" s="8" t="s">
        <v>227</v>
      </c>
      <c r="G112" s="8" t="s">
        <v>232</v>
      </c>
      <c r="H112" s="8">
        <v>27</v>
      </c>
      <c r="I112" s="8">
        <v>5</v>
      </c>
      <c r="J112" s="8" t="s">
        <v>235</v>
      </c>
    </row>
    <row r="113" spans="1:10" ht="30" customHeight="1" x14ac:dyDescent="0.35">
      <c r="A113" s="7">
        <v>46266</v>
      </c>
      <c r="B113" s="8" t="s">
        <v>10</v>
      </c>
      <c r="C113" s="8" t="s">
        <v>128</v>
      </c>
      <c r="D113" s="8" t="s">
        <v>217</v>
      </c>
      <c r="E113" s="8" t="s">
        <v>222</v>
      </c>
      <c r="F113" s="8" t="s">
        <v>229</v>
      </c>
      <c r="G113" s="8" t="s">
        <v>234</v>
      </c>
      <c r="H113" s="8">
        <v>58</v>
      </c>
      <c r="I113" s="8">
        <v>3</v>
      </c>
      <c r="J113" s="8" t="s">
        <v>238</v>
      </c>
    </row>
    <row r="114" spans="1:10" ht="30" customHeight="1" x14ac:dyDescent="0.35">
      <c r="A114" s="7">
        <v>46294.854270833333</v>
      </c>
      <c r="B114" s="8" t="s">
        <v>14</v>
      </c>
      <c r="C114" s="8" t="s">
        <v>129</v>
      </c>
      <c r="D114" s="8" t="s">
        <v>219</v>
      </c>
      <c r="E114" s="8" t="s">
        <v>222</v>
      </c>
      <c r="F114" s="8" t="s">
        <v>227</v>
      </c>
      <c r="G114" s="8" t="s">
        <v>231</v>
      </c>
      <c r="H114" s="8">
        <v>31</v>
      </c>
      <c r="I114" s="8">
        <v>1</v>
      </c>
      <c r="J114" s="8" t="s">
        <v>236</v>
      </c>
    </row>
    <row r="115" spans="1:10" ht="30" customHeight="1" x14ac:dyDescent="0.35">
      <c r="A115" s="7">
        <v>46288.296481481477</v>
      </c>
      <c r="B115" s="8" t="s">
        <v>15</v>
      </c>
      <c r="C115" s="8" t="s">
        <v>130</v>
      </c>
      <c r="D115" s="8" t="s">
        <v>217</v>
      </c>
      <c r="E115" s="8" t="s">
        <v>224</v>
      </c>
      <c r="F115" s="8" t="s">
        <v>226</v>
      </c>
      <c r="G115" s="8" t="s">
        <v>231</v>
      </c>
      <c r="H115" s="8">
        <v>6</v>
      </c>
      <c r="I115" s="8">
        <v>4</v>
      </c>
      <c r="J115" s="8" t="s">
        <v>237</v>
      </c>
    </row>
    <row r="116" spans="1:10" ht="30" customHeight="1" x14ac:dyDescent="0.35">
      <c r="A116" s="7">
        <v>46276.201006944437</v>
      </c>
      <c r="B116" s="8" t="s">
        <v>15</v>
      </c>
      <c r="C116" s="8" t="s">
        <v>131</v>
      </c>
      <c r="D116" s="8" t="s">
        <v>220</v>
      </c>
      <c r="E116" s="8" t="s">
        <v>224</v>
      </c>
      <c r="F116" s="8" t="s">
        <v>229</v>
      </c>
      <c r="G116" s="8" t="s">
        <v>232</v>
      </c>
      <c r="H116" s="8">
        <v>40</v>
      </c>
      <c r="I116" s="8">
        <v>5</v>
      </c>
      <c r="J116" s="8" t="s">
        <v>236</v>
      </c>
    </row>
    <row r="117" spans="1:10" ht="30" customHeight="1" x14ac:dyDescent="0.35">
      <c r="A117" s="7">
        <v>46283.924618055556</v>
      </c>
      <c r="B117" s="8" t="s">
        <v>13</v>
      </c>
      <c r="C117" s="8" t="s">
        <v>132</v>
      </c>
      <c r="D117" s="8" t="s">
        <v>218</v>
      </c>
      <c r="E117" s="8" t="s">
        <v>224</v>
      </c>
      <c r="F117" s="8" t="s">
        <v>227</v>
      </c>
      <c r="G117" s="8" t="s">
        <v>233</v>
      </c>
      <c r="H117" s="8">
        <v>12</v>
      </c>
      <c r="I117" s="8">
        <v>2</v>
      </c>
      <c r="J117" s="8" t="s">
        <v>235</v>
      </c>
    </row>
    <row r="118" spans="1:10" ht="30" customHeight="1" x14ac:dyDescent="0.35">
      <c r="A118" s="7">
        <v>46275.326631944437</v>
      </c>
      <c r="B118" s="8" t="s">
        <v>9</v>
      </c>
      <c r="C118" s="8" t="s">
        <v>133</v>
      </c>
      <c r="D118" s="8" t="s">
        <v>220</v>
      </c>
      <c r="E118" s="8" t="s">
        <v>222</v>
      </c>
      <c r="F118" s="8" t="s">
        <v>227</v>
      </c>
      <c r="G118" s="8" t="s">
        <v>230</v>
      </c>
      <c r="H118" s="8">
        <v>53</v>
      </c>
      <c r="I118" s="8">
        <v>3</v>
      </c>
      <c r="J118" s="8" t="s">
        <v>236</v>
      </c>
    </row>
    <row r="119" spans="1:10" ht="30" customHeight="1" x14ac:dyDescent="0.35">
      <c r="A119" s="7">
        <v>46272.412060185183</v>
      </c>
      <c r="B119" s="8" t="s">
        <v>12</v>
      </c>
      <c r="C119" s="8" t="s">
        <v>134</v>
      </c>
      <c r="D119" s="8" t="s">
        <v>220</v>
      </c>
      <c r="E119" s="8" t="s">
        <v>222</v>
      </c>
      <c r="F119" s="8" t="s">
        <v>227</v>
      </c>
      <c r="G119" s="8" t="s">
        <v>230</v>
      </c>
      <c r="H119" s="8">
        <v>20</v>
      </c>
      <c r="I119" s="8">
        <v>3</v>
      </c>
      <c r="J119" s="8" t="s">
        <v>237</v>
      </c>
    </row>
    <row r="120" spans="1:10" ht="30" customHeight="1" x14ac:dyDescent="0.35">
      <c r="A120" s="7">
        <v>46289.75377314815</v>
      </c>
      <c r="B120" s="8" t="s">
        <v>14</v>
      </c>
      <c r="C120" s="8" t="s">
        <v>135</v>
      </c>
      <c r="D120" s="8" t="s">
        <v>217</v>
      </c>
      <c r="E120" s="8" t="s">
        <v>224</v>
      </c>
      <c r="F120" s="8" t="s">
        <v>228</v>
      </c>
      <c r="G120" s="8" t="s">
        <v>231</v>
      </c>
      <c r="H120" s="8">
        <v>10</v>
      </c>
      <c r="I120" s="8">
        <v>3</v>
      </c>
      <c r="J120" s="8" t="s">
        <v>236</v>
      </c>
    </row>
    <row r="121" spans="1:10" ht="30" customHeight="1" x14ac:dyDescent="0.35">
      <c r="A121" s="7">
        <v>46270.080405092587</v>
      </c>
      <c r="B121" s="8" t="s">
        <v>16</v>
      </c>
      <c r="C121" s="8" t="s">
        <v>136</v>
      </c>
      <c r="D121" s="8" t="s">
        <v>218</v>
      </c>
      <c r="E121" s="8" t="s">
        <v>222</v>
      </c>
      <c r="F121" s="8" t="s">
        <v>227</v>
      </c>
      <c r="G121" s="8" t="s">
        <v>232</v>
      </c>
      <c r="H121" s="8">
        <v>45</v>
      </c>
      <c r="I121" s="8">
        <v>3</v>
      </c>
      <c r="J121" s="8" t="s">
        <v>235</v>
      </c>
    </row>
    <row r="122" spans="1:10" ht="30" customHeight="1" x14ac:dyDescent="0.35">
      <c r="A122" s="7">
        <v>46271.829143518517</v>
      </c>
      <c r="B122" s="8" t="s">
        <v>11</v>
      </c>
      <c r="C122" s="8" t="s">
        <v>137</v>
      </c>
      <c r="D122" s="8" t="s">
        <v>218</v>
      </c>
      <c r="E122" s="8" t="s">
        <v>222</v>
      </c>
      <c r="F122" s="8" t="s">
        <v>227</v>
      </c>
      <c r="G122" s="8" t="s">
        <v>230</v>
      </c>
      <c r="H122" s="8">
        <v>17</v>
      </c>
      <c r="I122" s="8">
        <v>4</v>
      </c>
      <c r="J122" s="8" t="s">
        <v>238</v>
      </c>
    </row>
    <row r="123" spans="1:10" ht="30" customHeight="1" x14ac:dyDescent="0.35">
      <c r="A123" s="7">
        <v>46281.738692129627</v>
      </c>
      <c r="B123" s="8" t="s">
        <v>11</v>
      </c>
      <c r="C123" s="8" t="s">
        <v>138</v>
      </c>
      <c r="D123" s="8" t="s">
        <v>218</v>
      </c>
      <c r="E123" s="8" t="s">
        <v>223</v>
      </c>
      <c r="F123" s="8" t="s">
        <v>226</v>
      </c>
      <c r="G123" s="8" t="s">
        <v>231</v>
      </c>
      <c r="H123" s="8">
        <v>58</v>
      </c>
      <c r="I123" s="8">
        <v>3</v>
      </c>
      <c r="J123" s="8" t="s">
        <v>236</v>
      </c>
    </row>
    <row r="124" spans="1:10" ht="30" customHeight="1" x14ac:dyDescent="0.35">
      <c r="A124" s="7">
        <v>46288.587939814817</v>
      </c>
      <c r="B124" s="8" t="s">
        <v>16</v>
      </c>
      <c r="C124" s="8" t="s">
        <v>139</v>
      </c>
      <c r="D124" s="8" t="s">
        <v>219</v>
      </c>
      <c r="E124" s="8" t="s">
        <v>224</v>
      </c>
      <c r="F124" s="8" t="s">
        <v>227</v>
      </c>
      <c r="G124" s="8" t="s">
        <v>233</v>
      </c>
      <c r="H124" s="8">
        <v>62</v>
      </c>
      <c r="I124" s="8">
        <v>1</v>
      </c>
      <c r="J124" s="8" t="s">
        <v>235</v>
      </c>
    </row>
    <row r="125" spans="1:10" ht="30" customHeight="1" x14ac:dyDescent="0.35">
      <c r="A125" s="7">
        <v>46288.733668981477</v>
      </c>
      <c r="B125" s="8" t="s">
        <v>13</v>
      </c>
      <c r="C125" s="8" t="s">
        <v>140</v>
      </c>
      <c r="D125" s="8" t="s">
        <v>217</v>
      </c>
      <c r="E125" s="8" t="s">
        <v>222</v>
      </c>
      <c r="F125" s="8" t="s">
        <v>227</v>
      </c>
      <c r="G125" s="8" t="s">
        <v>230</v>
      </c>
      <c r="H125" s="8">
        <v>58</v>
      </c>
      <c r="I125" s="8">
        <v>3</v>
      </c>
      <c r="J125" s="8" t="s">
        <v>235</v>
      </c>
    </row>
    <row r="126" spans="1:10" ht="30" customHeight="1" x14ac:dyDescent="0.35">
      <c r="A126" s="7">
        <v>46269.643217592587</v>
      </c>
      <c r="B126" s="8" t="s">
        <v>10</v>
      </c>
      <c r="C126" s="8" t="s">
        <v>141</v>
      </c>
      <c r="D126" s="8" t="s">
        <v>218</v>
      </c>
      <c r="E126" s="8" t="s">
        <v>222</v>
      </c>
      <c r="F126" s="8" t="s">
        <v>227</v>
      </c>
      <c r="G126" s="8" t="s">
        <v>231</v>
      </c>
      <c r="H126" s="8">
        <v>58</v>
      </c>
      <c r="I126" s="8">
        <v>3</v>
      </c>
      <c r="J126" s="8" t="s">
        <v>237</v>
      </c>
    </row>
    <row r="127" spans="1:10" ht="30" customHeight="1" x14ac:dyDescent="0.35">
      <c r="A127" s="7">
        <v>46269.351759259262</v>
      </c>
      <c r="B127" s="8" t="s">
        <v>9</v>
      </c>
      <c r="C127" s="8" t="s">
        <v>142</v>
      </c>
      <c r="D127" s="8" t="s">
        <v>219</v>
      </c>
      <c r="E127" s="8" t="s">
        <v>222</v>
      </c>
      <c r="F127" s="8" t="s">
        <v>229</v>
      </c>
      <c r="G127" s="8" t="s">
        <v>231</v>
      </c>
      <c r="H127" s="8">
        <v>2</v>
      </c>
      <c r="I127" s="8">
        <v>2</v>
      </c>
      <c r="J127" s="8" t="s">
        <v>237</v>
      </c>
    </row>
    <row r="128" spans="1:10" ht="30" customHeight="1" x14ac:dyDescent="0.35">
      <c r="A128" s="7">
        <v>46292.814074074071</v>
      </c>
      <c r="B128" s="8" t="s">
        <v>12</v>
      </c>
      <c r="C128" s="8" t="s">
        <v>143</v>
      </c>
      <c r="D128" s="8" t="s">
        <v>221</v>
      </c>
      <c r="E128" s="8" t="s">
        <v>222</v>
      </c>
      <c r="F128" s="8" t="s">
        <v>229</v>
      </c>
      <c r="G128" s="8" t="s">
        <v>234</v>
      </c>
      <c r="H128" s="8">
        <v>20</v>
      </c>
      <c r="I128" s="8">
        <v>3</v>
      </c>
      <c r="J128" s="8" t="s">
        <v>236</v>
      </c>
    </row>
    <row r="129" spans="1:10" ht="30" customHeight="1" x14ac:dyDescent="0.35">
      <c r="A129" s="7">
        <v>46287.422106481477</v>
      </c>
      <c r="B129" s="8" t="s">
        <v>11</v>
      </c>
      <c r="C129" s="8" t="s">
        <v>144</v>
      </c>
      <c r="D129" s="8" t="s">
        <v>221</v>
      </c>
      <c r="E129" s="8" t="s">
        <v>223</v>
      </c>
      <c r="F129" s="8" t="s">
        <v>227</v>
      </c>
      <c r="G129" s="8" t="s">
        <v>233</v>
      </c>
      <c r="H129" s="8">
        <v>61</v>
      </c>
      <c r="I129" s="8">
        <v>3</v>
      </c>
      <c r="J129" s="8" t="s">
        <v>238</v>
      </c>
    </row>
    <row r="130" spans="1:10" ht="30" customHeight="1" x14ac:dyDescent="0.35">
      <c r="A130" s="7">
        <v>46277.804016203707</v>
      </c>
      <c r="B130" s="8" t="s">
        <v>9</v>
      </c>
      <c r="C130" s="8" t="s">
        <v>145</v>
      </c>
      <c r="D130" s="8" t="s">
        <v>219</v>
      </c>
      <c r="E130" s="8" t="s">
        <v>222</v>
      </c>
      <c r="F130" s="8" t="s">
        <v>227</v>
      </c>
      <c r="G130" s="8" t="s">
        <v>234</v>
      </c>
      <c r="H130" s="8">
        <v>9</v>
      </c>
      <c r="I130" s="8">
        <v>3</v>
      </c>
      <c r="J130" s="8" t="s">
        <v>235</v>
      </c>
    </row>
    <row r="131" spans="1:10" ht="30" customHeight="1" x14ac:dyDescent="0.35">
      <c r="A131" s="7">
        <v>46271.68341435185</v>
      </c>
      <c r="B131" s="8" t="s">
        <v>10</v>
      </c>
      <c r="C131" s="8" t="s">
        <v>146</v>
      </c>
      <c r="D131" s="8" t="s">
        <v>219</v>
      </c>
      <c r="E131" s="8" t="s">
        <v>222</v>
      </c>
      <c r="F131" s="8" t="s">
        <v>228</v>
      </c>
      <c r="G131" s="8" t="s">
        <v>232</v>
      </c>
      <c r="H131" s="8">
        <v>61</v>
      </c>
      <c r="I131" s="8">
        <v>3</v>
      </c>
      <c r="J131" s="8" t="s">
        <v>236</v>
      </c>
    </row>
    <row r="132" spans="1:10" ht="30" customHeight="1" x14ac:dyDescent="0.35">
      <c r="A132" s="7">
        <v>46290.482407407413</v>
      </c>
      <c r="B132" s="8" t="s">
        <v>13</v>
      </c>
      <c r="C132" s="8" t="s">
        <v>147</v>
      </c>
      <c r="D132" s="8" t="s">
        <v>217</v>
      </c>
      <c r="E132" s="8" t="s">
        <v>224</v>
      </c>
      <c r="F132" s="8" t="s">
        <v>227</v>
      </c>
      <c r="G132" s="8" t="s">
        <v>234</v>
      </c>
      <c r="H132" s="8">
        <v>36</v>
      </c>
      <c r="I132" s="8">
        <v>5</v>
      </c>
      <c r="J132" s="8" t="s">
        <v>235</v>
      </c>
    </row>
    <row r="133" spans="1:10" ht="30" customHeight="1" x14ac:dyDescent="0.35">
      <c r="A133" s="7">
        <v>46272.849247685182</v>
      </c>
      <c r="B133" s="8" t="s">
        <v>15</v>
      </c>
      <c r="C133" s="8" t="s">
        <v>148</v>
      </c>
      <c r="D133" s="8" t="s">
        <v>217</v>
      </c>
      <c r="E133" s="8" t="s">
        <v>224</v>
      </c>
      <c r="F133" s="8" t="s">
        <v>227</v>
      </c>
      <c r="G133" s="8" t="s">
        <v>234</v>
      </c>
      <c r="H133" s="8">
        <v>26</v>
      </c>
      <c r="I133" s="8">
        <v>3</v>
      </c>
      <c r="J133" s="8" t="s">
        <v>235</v>
      </c>
    </row>
    <row r="134" spans="1:10" ht="30" customHeight="1" x14ac:dyDescent="0.35">
      <c r="A134" s="7">
        <v>46279.698495370372</v>
      </c>
      <c r="B134" s="8" t="s">
        <v>10</v>
      </c>
      <c r="C134" s="8" t="s">
        <v>149</v>
      </c>
      <c r="D134" s="8" t="s">
        <v>221</v>
      </c>
      <c r="E134" s="8" t="s">
        <v>224</v>
      </c>
      <c r="F134" s="8" t="s">
        <v>227</v>
      </c>
      <c r="G134" s="8" t="s">
        <v>230</v>
      </c>
      <c r="H134" s="8">
        <v>29</v>
      </c>
      <c r="I134" s="8">
        <v>3</v>
      </c>
      <c r="J134" s="8" t="s">
        <v>238</v>
      </c>
    </row>
    <row r="135" spans="1:10" ht="30" customHeight="1" x14ac:dyDescent="0.35">
      <c r="A135" s="7">
        <v>46288.442210648151</v>
      </c>
      <c r="B135" s="8" t="s">
        <v>10</v>
      </c>
      <c r="C135" s="8" t="s">
        <v>150</v>
      </c>
      <c r="D135" s="8" t="s">
        <v>218</v>
      </c>
      <c r="E135" s="8" t="s">
        <v>223</v>
      </c>
      <c r="F135" s="8" t="s">
        <v>229</v>
      </c>
      <c r="G135" s="8" t="s">
        <v>231</v>
      </c>
      <c r="H135" s="8">
        <v>58</v>
      </c>
      <c r="I135" s="8">
        <v>3</v>
      </c>
      <c r="J135" s="8" t="s">
        <v>238</v>
      </c>
    </row>
    <row r="136" spans="1:10" ht="30" customHeight="1" x14ac:dyDescent="0.35">
      <c r="A136" s="7">
        <v>46272.266331018523</v>
      </c>
      <c r="B136" s="8" t="s">
        <v>12</v>
      </c>
      <c r="C136" s="8" t="s">
        <v>151</v>
      </c>
      <c r="D136" s="8" t="s">
        <v>221</v>
      </c>
      <c r="E136" s="8" t="s">
        <v>224</v>
      </c>
      <c r="F136" s="8" t="s">
        <v>227</v>
      </c>
      <c r="G136" s="8" t="s">
        <v>233</v>
      </c>
      <c r="H136" s="8">
        <v>61</v>
      </c>
      <c r="I136" s="8">
        <v>3</v>
      </c>
      <c r="J136" s="8" t="s">
        <v>236</v>
      </c>
    </row>
    <row r="137" spans="1:10" ht="30" customHeight="1" x14ac:dyDescent="0.35">
      <c r="A137" s="7">
        <v>46286.110555555562</v>
      </c>
      <c r="B137" s="8" t="s">
        <v>14</v>
      </c>
      <c r="C137" s="8" t="s">
        <v>152</v>
      </c>
      <c r="D137" s="8" t="s">
        <v>218</v>
      </c>
      <c r="E137" s="8" t="s">
        <v>224</v>
      </c>
      <c r="F137" s="8" t="s">
        <v>229</v>
      </c>
      <c r="G137" s="8" t="s">
        <v>234</v>
      </c>
      <c r="H137" s="8">
        <v>40</v>
      </c>
      <c r="I137" s="8">
        <v>3</v>
      </c>
      <c r="J137" s="8" t="s">
        <v>238</v>
      </c>
    </row>
    <row r="138" spans="1:10" ht="30" customHeight="1" x14ac:dyDescent="0.35">
      <c r="A138" s="7">
        <v>46266.4371875</v>
      </c>
      <c r="B138" s="8" t="s">
        <v>10</v>
      </c>
      <c r="C138" s="8" t="s">
        <v>153</v>
      </c>
      <c r="D138" s="8" t="s">
        <v>218</v>
      </c>
      <c r="E138" s="8" t="s">
        <v>224</v>
      </c>
      <c r="F138" s="8" t="s">
        <v>228</v>
      </c>
      <c r="G138" s="8" t="s">
        <v>233</v>
      </c>
      <c r="H138" s="8">
        <v>11</v>
      </c>
      <c r="I138" s="8">
        <v>5</v>
      </c>
      <c r="J138" s="8" t="s">
        <v>238</v>
      </c>
    </row>
    <row r="139" spans="1:10" ht="30" customHeight="1" x14ac:dyDescent="0.35">
      <c r="A139" s="7">
        <v>46281.301504629628</v>
      </c>
      <c r="B139" s="8" t="s">
        <v>11</v>
      </c>
      <c r="C139" s="8" t="s">
        <v>154</v>
      </c>
      <c r="D139" s="8" t="s">
        <v>217</v>
      </c>
      <c r="E139" s="8" t="s">
        <v>223</v>
      </c>
      <c r="F139" s="8" t="s">
        <v>229</v>
      </c>
      <c r="G139" s="8" t="s">
        <v>234</v>
      </c>
      <c r="H139" s="8">
        <v>36</v>
      </c>
      <c r="I139" s="8">
        <v>2</v>
      </c>
      <c r="J139" s="8" t="s">
        <v>236</v>
      </c>
    </row>
    <row r="140" spans="1:10" ht="30" customHeight="1" x14ac:dyDescent="0.35">
      <c r="A140" s="7">
        <v>46273.723622685182</v>
      </c>
      <c r="B140" s="8" t="s">
        <v>10</v>
      </c>
      <c r="C140" s="8" t="s">
        <v>155</v>
      </c>
      <c r="D140" s="8" t="s">
        <v>220</v>
      </c>
      <c r="E140" s="8" t="s">
        <v>222</v>
      </c>
      <c r="F140" s="8" t="s">
        <v>227</v>
      </c>
      <c r="G140" s="8" t="s">
        <v>232</v>
      </c>
      <c r="H140" s="8">
        <v>59</v>
      </c>
      <c r="I140" s="8">
        <v>2</v>
      </c>
      <c r="J140" s="8" t="s">
        <v>238</v>
      </c>
    </row>
    <row r="141" spans="1:10" ht="30" customHeight="1" x14ac:dyDescent="0.35">
      <c r="A141" s="7">
        <v>46285.381909722222</v>
      </c>
      <c r="B141" s="8" t="s">
        <v>13</v>
      </c>
      <c r="C141" s="8" t="s">
        <v>156</v>
      </c>
      <c r="D141" s="8" t="s">
        <v>220</v>
      </c>
      <c r="E141" s="8" t="s">
        <v>222</v>
      </c>
      <c r="F141" s="8" t="s">
        <v>229</v>
      </c>
      <c r="G141" s="8" t="s">
        <v>234</v>
      </c>
      <c r="H141" s="8">
        <v>54</v>
      </c>
      <c r="I141" s="8">
        <v>3</v>
      </c>
      <c r="J141" s="8" t="s">
        <v>237</v>
      </c>
    </row>
    <row r="142" spans="1:10" ht="30" customHeight="1" x14ac:dyDescent="0.35">
      <c r="A142" s="7">
        <v>46292.231157407397</v>
      </c>
      <c r="B142" s="8" t="s">
        <v>10</v>
      </c>
      <c r="C142" s="8" t="s">
        <v>157</v>
      </c>
      <c r="D142" s="8" t="s">
        <v>219</v>
      </c>
      <c r="E142" s="8" t="s">
        <v>222</v>
      </c>
      <c r="F142" s="8" t="s">
        <v>228</v>
      </c>
      <c r="G142" s="8" t="s">
        <v>230</v>
      </c>
      <c r="H142" s="8">
        <v>54</v>
      </c>
      <c r="I142" s="8">
        <v>4</v>
      </c>
      <c r="J142" s="8" t="s">
        <v>235</v>
      </c>
    </row>
    <row r="143" spans="1:10" ht="30" customHeight="1" x14ac:dyDescent="0.35">
      <c r="A143" s="7">
        <v>46291.939699074072</v>
      </c>
      <c r="B143" s="8" t="s">
        <v>13</v>
      </c>
      <c r="C143" s="8" t="s">
        <v>158</v>
      </c>
      <c r="D143" s="8" t="s">
        <v>217</v>
      </c>
      <c r="E143" s="8" t="s">
        <v>222</v>
      </c>
      <c r="F143" s="8" t="s">
        <v>227</v>
      </c>
      <c r="G143" s="8" t="s">
        <v>231</v>
      </c>
      <c r="H143" s="8">
        <v>9</v>
      </c>
      <c r="I143" s="8">
        <v>3</v>
      </c>
      <c r="J143" s="8" t="s">
        <v>235</v>
      </c>
    </row>
    <row r="144" spans="1:10" ht="30" customHeight="1" x14ac:dyDescent="0.35">
      <c r="A144" s="7">
        <v>46292.959803240738</v>
      </c>
      <c r="B144" s="8" t="s">
        <v>9</v>
      </c>
      <c r="C144" s="8" t="s">
        <v>159</v>
      </c>
      <c r="D144" s="8" t="s">
        <v>218</v>
      </c>
      <c r="E144" s="8" t="s">
        <v>222</v>
      </c>
      <c r="F144" s="8" t="s">
        <v>227</v>
      </c>
      <c r="G144" s="8" t="s">
        <v>232</v>
      </c>
      <c r="H144" s="8">
        <v>24</v>
      </c>
      <c r="I144" s="8">
        <v>4</v>
      </c>
      <c r="J144" s="8" t="s">
        <v>235</v>
      </c>
    </row>
    <row r="145" spans="1:10" ht="30" customHeight="1" x14ac:dyDescent="0.35">
      <c r="A145" s="7">
        <v>46273.140706018523</v>
      </c>
      <c r="B145" s="8" t="s">
        <v>12</v>
      </c>
      <c r="C145" s="8" t="s">
        <v>160</v>
      </c>
      <c r="D145" s="8" t="s">
        <v>220</v>
      </c>
      <c r="E145" s="8" t="s">
        <v>223</v>
      </c>
      <c r="F145" s="8" t="s">
        <v>229</v>
      </c>
      <c r="G145" s="8" t="s">
        <v>234</v>
      </c>
      <c r="H145" s="8">
        <v>22</v>
      </c>
      <c r="I145" s="8">
        <v>5</v>
      </c>
      <c r="J145" s="8" t="s">
        <v>235</v>
      </c>
    </row>
    <row r="146" spans="1:10" ht="30" customHeight="1" x14ac:dyDescent="0.35">
      <c r="A146" s="7">
        <v>46277.65828703704</v>
      </c>
      <c r="B146" s="8" t="s">
        <v>12</v>
      </c>
      <c r="C146" s="8" t="s">
        <v>161</v>
      </c>
      <c r="D146" s="8" t="s">
        <v>218</v>
      </c>
      <c r="E146" s="8" t="s">
        <v>222</v>
      </c>
      <c r="F146" s="8" t="s">
        <v>226</v>
      </c>
      <c r="G146" s="8" t="s">
        <v>233</v>
      </c>
      <c r="H146" s="8">
        <v>69</v>
      </c>
      <c r="I146" s="8">
        <v>5</v>
      </c>
      <c r="J146" s="8" t="s">
        <v>236</v>
      </c>
    </row>
    <row r="147" spans="1:10" ht="30" customHeight="1" x14ac:dyDescent="0.35">
      <c r="A147" s="7">
        <v>46270.954768518517</v>
      </c>
      <c r="B147" s="8" t="s">
        <v>16</v>
      </c>
      <c r="C147" s="8" t="s">
        <v>162</v>
      </c>
      <c r="D147" s="8" t="s">
        <v>220</v>
      </c>
      <c r="E147" s="8" t="s">
        <v>222</v>
      </c>
      <c r="F147" s="8" t="s">
        <v>227</v>
      </c>
      <c r="G147" s="8" t="s">
        <v>232</v>
      </c>
      <c r="H147" s="8">
        <v>69</v>
      </c>
      <c r="I147" s="8">
        <v>3</v>
      </c>
      <c r="J147" s="8" t="s">
        <v>235</v>
      </c>
    </row>
    <row r="148" spans="1:10" ht="30" customHeight="1" x14ac:dyDescent="0.35">
      <c r="A148" s="7">
        <v>46267.020104166673</v>
      </c>
      <c r="B148" s="8" t="s">
        <v>16</v>
      </c>
      <c r="C148" s="8" t="s">
        <v>163</v>
      </c>
      <c r="D148" s="8" t="s">
        <v>220</v>
      </c>
      <c r="E148" s="8" t="s">
        <v>222</v>
      </c>
      <c r="F148" s="8" t="s">
        <v>226</v>
      </c>
      <c r="G148" s="8" t="s">
        <v>232</v>
      </c>
      <c r="H148" s="8">
        <v>25</v>
      </c>
      <c r="I148" s="8">
        <v>3</v>
      </c>
      <c r="J148" s="8" t="s">
        <v>235</v>
      </c>
    </row>
    <row r="149" spans="1:10" ht="30" customHeight="1" x14ac:dyDescent="0.35">
      <c r="A149" s="7">
        <v>46282.030150462961</v>
      </c>
      <c r="B149" s="8" t="s">
        <v>11</v>
      </c>
      <c r="C149" s="8" t="s">
        <v>164</v>
      </c>
      <c r="D149" s="8" t="s">
        <v>220</v>
      </c>
      <c r="E149" s="8" t="s">
        <v>222</v>
      </c>
      <c r="F149" s="8" t="s">
        <v>227</v>
      </c>
      <c r="G149" s="8" t="s">
        <v>234</v>
      </c>
      <c r="H149" s="8">
        <v>20</v>
      </c>
      <c r="I149" s="8">
        <v>3</v>
      </c>
      <c r="J149" s="8" t="s">
        <v>235</v>
      </c>
    </row>
    <row r="150" spans="1:10" ht="30" customHeight="1" x14ac:dyDescent="0.35">
      <c r="A150" s="7">
        <v>46279.261307870373</v>
      </c>
      <c r="B150" s="8" t="s">
        <v>9</v>
      </c>
      <c r="C150" s="8" t="s">
        <v>165</v>
      </c>
      <c r="D150" s="8" t="s">
        <v>217</v>
      </c>
      <c r="E150" s="8" t="s">
        <v>223</v>
      </c>
      <c r="F150" s="8" t="s">
        <v>229</v>
      </c>
      <c r="G150" s="8" t="s">
        <v>232</v>
      </c>
      <c r="H150" s="8">
        <v>20</v>
      </c>
      <c r="I150" s="8">
        <v>5</v>
      </c>
      <c r="J150" s="8" t="s">
        <v>235</v>
      </c>
    </row>
    <row r="151" spans="1:10" ht="30" customHeight="1" x14ac:dyDescent="0.35">
      <c r="A151" s="7">
        <v>46278.09547453704</v>
      </c>
      <c r="B151" s="8" t="s">
        <v>15</v>
      </c>
      <c r="C151" s="8" t="s">
        <v>166</v>
      </c>
      <c r="D151" s="8" t="s">
        <v>221</v>
      </c>
      <c r="E151" s="8" t="s">
        <v>224</v>
      </c>
      <c r="F151" s="8" t="s">
        <v>229</v>
      </c>
      <c r="G151" s="8" t="s">
        <v>233</v>
      </c>
      <c r="H151" s="8">
        <v>62</v>
      </c>
      <c r="I151" s="8">
        <v>3</v>
      </c>
      <c r="J151" s="8" t="s">
        <v>237</v>
      </c>
    </row>
    <row r="152" spans="1:10" ht="30" customHeight="1" x14ac:dyDescent="0.35">
      <c r="A152" s="7">
        <v>46291.648240740738</v>
      </c>
      <c r="B152" s="8" t="s">
        <v>9</v>
      </c>
      <c r="C152" s="8" t="s">
        <v>167</v>
      </c>
      <c r="D152" s="8" t="s">
        <v>218</v>
      </c>
      <c r="E152" s="8" t="s">
        <v>224</v>
      </c>
      <c r="F152" s="8" t="s">
        <v>227</v>
      </c>
      <c r="G152" s="8" t="s">
        <v>232</v>
      </c>
      <c r="H152" s="8">
        <v>58</v>
      </c>
      <c r="I152" s="8">
        <v>3</v>
      </c>
      <c r="J152" s="8" t="s">
        <v>235</v>
      </c>
    </row>
    <row r="153" spans="1:10" ht="30" customHeight="1" x14ac:dyDescent="0.35">
      <c r="A153" s="7">
        <v>46292.376886574071</v>
      </c>
      <c r="B153" s="8" t="s">
        <v>9</v>
      </c>
      <c r="C153" s="8" t="s">
        <v>168</v>
      </c>
      <c r="D153" s="8" t="s">
        <v>217</v>
      </c>
      <c r="E153" s="8" t="s">
        <v>222</v>
      </c>
      <c r="F153" s="8" t="s">
        <v>227</v>
      </c>
      <c r="G153" s="8" t="s">
        <v>233</v>
      </c>
      <c r="H153" s="8">
        <v>12</v>
      </c>
      <c r="I153" s="8">
        <v>3</v>
      </c>
      <c r="J153" s="8" t="s">
        <v>237</v>
      </c>
    </row>
    <row r="154" spans="1:10" ht="30" customHeight="1" x14ac:dyDescent="0.35">
      <c r="A154" s="7">
        <v>46278.969849537039</v>
      </c>
      <c r="B154" s="8" t="s">
        <v>12</v>
      </c>
      <c r="C154" s="8" t="s">
        <v>169</v>
      </c>
      <c r="D154" s="8" t="s">
        <v>217</v>
      </c>
      <c r="E154" s="8" t="s">
        <v>222</v>
      </c>
      <c r="F154" s="8" t="s">
        <v>229</v>
      </c>
      <c r="G154" s="8" t="s">
        <v>234</v>
      </c>
      <c r="H154" s="8">
        <v>40</v>
      </c>
      <c r="I154" s="8">
        <v>2</v>
      </c>
      <c r="J154" s="8" t="s">
        <v>236</v>
      </c>
    </row>
    <row r="155" spans="1:10" ht="30" customHeight="1" x14ac:dyDescent="0.35">
      <c r="A155" s="7">
        <v>46267.165833333333</v>
      </c>
      <c r="B155" s="8" t="s">
        <v>12</v>
      </c>
      <c r="C155" s="8" t="s">
        <v>170</v>
      </c>
      <c r="D155" s="8" t="s">
        <v>217</v>
      </c>
      <c r="E155" s="8" t="s">
        <v>224</v>
      </c>
      <c r="F155" s="8" t="s">
        <v>226</v>
      </c>
      <c r="G155" s="8" t="s">
        <v>231</v>
      </c>
      <c r="H155" s="8">
        <v>12</v>
      </c>
      <c r="I155" s="8">
        <v>3</v>
      </c>
      <c r="J155" s="8" t="s">
        <v>238</v>
      </c>
    </row>
    <row r="156" spans="1:10" ht="30" customHeight="1" x14ac:dyDescent="0.35">
      <c r="A156" s="7">
        <v>46267.894467592603</v>
      </c>
      <c r="B156" s="8" t="s">
        <v>10</v>
      </c>
      <c r="C156" s="8" t="s">
        <v>171</v>
      </c>
      <c r="D156" s="8" t="s">
        <v>217</v>
      </c>
      <c r="E156" s="8" t="s">
        <v>225</v>
      </c>
      <c r="F156" s="8" t="s">
        <v>227</v>
      </c>
      <c r="G156" s="8" t="s">
        <v>232</v>
      </c>
      <c r="H156" s="8">
        <v>1</v>
      </c>
      <c r="I156" s="8">
        <v>5</v>
      </c>
      <c r="J156" s="8" t="s">
        <v>235</v>
      </c>
    </row>
    <row r="157" spans="1:10" ht="30" customHeight="1" x14ac:dyDescent="0.35">
      <c r="A157" s="7">
        <v>46274.597986111112</v>
      </c>
      <c r="B157" s="8" t="s">
        <v>14</v>
      </c>
      <c r="C157" s="8" t="s">
        <v>172</v>
      </c>
      <c r="D157" s="8" t="s">
        <v>217</v>
      </c>
      <c r="E157" s="8" t="s">
        <v>222</v>
      </c>
      <c r="F157" s="8" t="s">
        <v>227</v>
      </c>
      <c r="G157" s="8" t="s">
        <v>231</v>
      </c>
      <c r="H157" s="8">
        <v>61</v>
      </c>
      <c r="I157" s="8">
        <v>5</v>
      </c>
      <c r="J157" s="8" t="s">
        <v>238</v>
      </c>
    </row>
    <row r="158" spans="1:10" ht="30" customHeight="1" x14ac:dyDescent="0.35">
      <c r="A158" s="7">
        <v>46290.919594907413</v>
      </c>
      <c r="B158" s="8" t="s">
        <v>14</v>
      </c>
      <c r="C158" s="8" t="s">
        <v>173</v>
      </c>
      <c r="D158" s="8" t="s">
        <v>219</v>
      </c>
      <c r="E158" s="8" t="s">
        <v>224</v>
      </c>
      <c r="F158" s="8" t="s">
        <v>227</v>
      </c>
      <c r="G158" s="8" t="s">
        <v>233</v>
      </c>
      <c r="H158" s="8">
        <v>58</v>
      </c>
      <c r="I158" s="8">
        <v>3</v>
      </c>
      <c r="J158" s="8" t="s">
        <v>238</v>
      </c>
    </row>
    <row r="159" spans="1:10" ht="30" customHeight="1" x14ac:dyDescent="0.35">
      <c r="A159" s="7">
        <v>46285.090451388889</v>
      </c>
      <c r="B159" s="8" t="s">
        <v>12</v>
      </c>
      <c r="C159" s="8" t="s">
        <v>174</v>
      </c>
      <c r="D159" s="8" t="s">
        <v>218</v>
      </c>
      <c r="E159" s="8" t="s">
        <v>223</v>
      </c>
      <c r="F159" s="8" t="s">
        <v>227</v>
      </c>
      <c r="G159" s="8" t="s">
        <v>232</v>
      </c>
      <c r="H159" s="8">
        <v>61</v>
      </c>
      <c r="I159" s="8">
        <v>3</v>
      </c>
      <c r="J159" s="8" t="s">
        <v>236</v>
      </c>
    </row>
    <row r="160" spans="1:10" ht="30" customHeight="1" x14ac:dyDescent="0.35">
      <c r="A160" s="7">
        <v>46268.477384259262</v>
      </c>
      <c r="B160" s="8" t="s">
        <v>14</v>
      </c>
      <c r="C160" s="8" t="s">
        <v>175</v>
      </c>
      <c r="D160" s="8" t="s">
        <v>217</v>
      </c>
      <c r="E160" s="8" t="s">
        <v>224</v>
      </c>
      <c r="F160" s="8" t="s">
        <v>227</v>
      </c>
      <c r="G160" s="8" t="s">
        <v>230</v>
      </c>
      <c r="H160" s="8">
        <v>54</v>
      </c>
      <c r="I160" s="8">
        <v>3</v>
      </c>
      <c r="J160" s="8" t="s">
        <v>238</v>
      </c>
    </row>
    <row r="161" spans="1:10" ht="30" customHeight="1" x14ac:dyDescent="0.35">
      <c r="A161" s="7">
        <v>46276.492465277777</v>
      </c>
      <c r="B161" s="8" t="s">
        <v>13</v>
      </c>
      <c r="C161" s="8" t="s">
        <v>176</v>
      </c>
      <c r="D161" s="8" t="s">
        <v>218</v>
      </c>
      <c r="E161" s="8" t="s">
        <v>224</v>
      </c>
      <c r="F161" s="8" t="s">
        <v>229</v>
      </c>
      <c r="G161" s="8" t="s">
        <v>231</v>
      </c>
      <c r="H161" s="8">
        <v>12</v>
      </c>
      <c r="I161" s="8">
        <v>3</v>
      </c>
      <c r="J161" s="8" t="s">
        <v>237</v>
      </c>
    </row>
    <row r="162" spans="1:10" ht="30" customHeight="1" x14ac:dyDescent="0.35">
      <c r="A162" s="7">
        <v>46291.502511574072</v>
      </c>
      <c r="B162" s="8" t="s">
        <v>16</v>
      </c>
      <c r="C162" s="8" t="s">
        <v>177</v>
      </c>
      <c r="D162" s="8" t="s">
        <v>219</v>
      </c>
      <c r="E162" s="8" t="s">
        <v>224</v>
      </c>
      <c r="F162" s="8" t="s">
        <v>229</v>
      </c>
      <c r="G162" s="8" t="s">
        <v>232</v>
      </c>
      <c r="H162" s="8">
        <v>54</v>
      </c>
      <c r="I162" s="8">
        <v>3</v>
      </c>
      <c r="J162" s="8" t="s">
        <v>238</v>
      </c>
    </row>
    <row r="163" spans="1:10" ht="30" customHeight="1" x14ac:dyDescent="0.35">
      <c r="A163" s="7">
        <v>46285.527638888889</v>
      </c>
      <c r="B163" s="8" t="s">
        <v>10</v>
      </c>
      <c r="C163" s="8" t="s">
        <v>178</v>
      </c>
      <c r="D163" s="8" t="s">
        <v>219</v>
      </c>
      <c r="E163" s="8" t="s">
        <v>224</v>
      </c>
      <c r="F163" s="8" t="s">
        <v>226</v>
      </c>
      <c r="G163" s="8" t="s">
        <v>231</v>
      </c>
      <c r="H163" s="8">
        <v>3</v>
      </c>
      <c r="I163" s="8">
        <v>3</v>
      </c>
      <c r="J163" s="8" t="s">
        <v>238</v>
      </c>
    </row>
    <row r="164" spans="1:10" ht="30" customHeight="1" x14ac:dyDescent="0.35">
      <c r="A164" s="7">
        <v>46290.336678240739</v>
      </c>
      <c r="B164" s="8" t="s">
        <v>16</v>
      </c>
      <c r="C164" s="8" t="s">
        <v>179</v>
      </c>
      <c r="D164" s="8" t="s">
        <v>218</v>
      </c>
      <c r="E164" s="8" t="s">
        <v>224</v>
      </c>
      <c r="F164" s="8" t="s">
        <v>228</v>
      </c>
      <c r="G164" s="8" t="s">
        <v>232</v>
      </c>
      <c r="H164" s="8">
        <v>44</v>
      </c>
      <c r="I164" s="8">
        <v>1</v>
      </c>
      <c r="J164" s="8" t="s">
        <v>238</v>
      </c>
    </row>
    <row r="165" spans="1:10" ht="30" customHeight="1" x14ac:dyDescent="0.35">
      <c r="A165" s="7">
        <v>46292.668344907397</v>
      </c>
      <c r="B165" s="8" t="s">
        <v>16</v>
      </c>
      <c r="C165" s="8" t="s">
        <v>180</v>
      </c>
      <c r="D165" s="8" t="s">
        <v>220</v>
      </c>
      <c r="E165" s="8" t="s">
        <v>224</v>
      </c>
      <c r="F165" s="8" t="s">
        <v>227</v>
      </c>
      <c r="G165" s="8" t="s">
        <v>234</v>
      </c>
      <c r="H165" s="8">
        <v>61</v>
      </c>
      <c r="I165" s="8">
        <v>3</v>
      </c>
      <c r="J165" s="8" t="s">
        <v>235</v>
      </c>
    </row>
    <row r="166" spans="1:10" ht="30" customHeight="1" x14ac:dyDescent="0.35">
      <c r="A166" s="7">
        <v>46275.180902777778</v>
      </c>
      <c r="B166" s="8" t="s">
        <v>15</v>
      </c>
      <c r="C166" s="8" t="s">
        <v>181</v>
      </c>
      <c r="D166" s="8" t="s">
        <v>221</v>
      </c>
      <c r="E166" s="8" t="s">
        <v>222</v>
      </c>
      <c r="F166" s="8" t="s">
        <v>227</v>
      </c>
      <c r="G166" s="8" t="s">
        <v>231</v>
      </c>
      <c r="H166" s="8">
        <v>12</v>
      </c>
      <c r="I166" s="8">
        <v>3</v>
      </c>
      <c r="J166" s="8" t="s">
        <v>235</v>
      </c>
    </row>
    <row r="167" spans="1:10" ht="30" customHeight="1" x14ac:dyDescent="0.35">
      <c r="A167" s="7">
        <v>46273.869351851848</v>
      </c>
      <c r="B167" s="8" t="s">
        <v>13</v>
      </c>
      <c r="C167" s="8" t="s">
        <v>182</v>
      </c>
      <c r="D167" s="8" t="s">
        <v>220</v>
      </c>
      <c r="E167" s="8" t="s">
        <v>223</v>
      </c>
      <c r="F167" s="8" t="s">
        <v>227</v>
      </c>
      <c r="G167" s="8" t="s">
        <v>230</v>
      </c>
      <c r="H167" s="8">
        <v>54</v>
      </c>
      <c r="I167" s="8">
        <v>3</v>
      </c>
      <c r="J167" s="8" t="s">
        <v>237</v>
      </c>
    </row>
    <row r="168" spans="1:10" ht="30" customHeight="1" x14ac:dyDescent="0.35">
      <c r="A168" s="7">
        <v>46281.592962962961</v>
      </c>
      <c r="B168" s="8" t="s">
        <v>11</v>
      </c>
      <c r="C168" s="8" t="s">
        <v>183</v>
      </c>
      <c r="D168" s="8" t="s">
        <v>220</v>
      </c>
      <c r="E168" s="8" t="s">
        <v>222</v>
      </c>
      <c r="F168" s="8" t="s">
        <v>227</v>
      </c>
      <c r="G168" s="8" t="s">
        <v>230</v>
      </c>
      <c r="H168" s="8">
        <v>54</v>
      </c>
      <c r="I168" s="8">
        <v>3</v>
      </c>
      <c r="J168" s="8" t="s">
        <v>237</v>
      </c>
    </row>
    <row r="169" spans="1:10" ht="30" customHeight="1" x14ac:dyDescent="0.35">
      <c r="A169" s="7">
        <v>46273.286435185182</v>
      </c>
      <c r="B169" s="8" t="s">
        <v>14</v>
      </c>
      <c r="C169" s="8" t="s">
        <v>184</v>
      </c>
      <c r="D169" s="8" t="s">
        <v>220</v>
      </c>
      <c r="E169" s="8" t="s">
        <v>222</v>
      </c>
      <c r="F169" s="8" t="s">
        <v>229</v>
      </c>
      <c r="G169" s="8" t="s">
        <v>233</v>
      </c>
      <c r="H169" s="8">
        <v>59</v>
      </c>
      <c r="I169" s="8">
        <v>5</v>
      </c>
      <c r="J169" s="8" t="s">
        <v>235</v>
      </c>
    </row>
    <row r="170" spans="1:10" ht="30" customHeight="1" x14ac:dyDescent="0.35">
      <c r="A170" s="7">
        <v>46294.5628125</v>
      </c>
      <c r="B170" s="8" t="s">
        <v>13</v>
      </c>
      <c r="C170" s="8" t="s">
        <v>185</v>
      </c>
      <c r="D170" s="8" t="s">
        <v>217</v>
      </c>
      <c r="E170" s="8" t="s">
        <v>225</v>
      </c>
      <c r="F170" s="8" t="s">
        <v>229</v>
      </c>
      <c r="G170" s="8" t="s">
        <v>232</v>
      </c>
      <c r="H170" s="8">
        <v>49</v>
      </c>
      <c r="I170" s="8">
        <v>2</v>
      </c>
      <c r="J170" s="8" t="s">
        <v>237</v>
      </c>
    </row>
    <row r="171" spans="1:10" ht="30" customHeight="1" x14ac:dyDescent="0.35">
      <c r="A171" s="7">
        <v>46274.452256944453</v>
      </c>
      <c r="B171" s="8" t="s">
        <v>13</v>
      </c>
      <c r="C171" s="8" t="s">
        <v>186</v>
      </c>
      <c r="D171" s="8" t="s">
        <v>219</v>
      </c>
      <c r="E171" s="8" t="s">
        <v>223</v>
      </c>
      <c r="F171" s="8" t="s">
        <v>226</v>
      </c>
      <c r="G171" s="8" t="s">
        <v>231</v>
      </c>
      <c r="H171" s="8">
        <v>61</v>
      </c>
      <c r="I171" s="8">
        <v>4</v>
      </c>
      <c r="J171" s="8" t="s">
        <v>235</v>
      </c>
    </row>
    <row r="172" spans="1:10" ht="30" customHeight="1" x14ac:dyDescent="0.35">
      <c r="A172" s="7">
        <v>46272.994976851849</v>
      </c>
      <c r="B172" s="8" t="s">
        <v>13</v>
      </c>
      <c r="C172" s="8" t="s">
        <v>187</v>
      </c>
      <c r="D172" s="8" t="s">
        <v>220</v>
      </c>
      <c r="E172" s="8" t="s">
        <v>224</v>
      </c>
      <c r="F172" s="8" t="s">
        <v>227</v>
      </c>
      <c r="G172" s="8" t="s">
        <v>233</v>
      </c>
      <c r="H172" s="8">
        <v>17</v>
      </c>
      <c r="I172" s="8">
        <v>3</v>
      </c>
      <c r="J172" s="8" t="s">
        <v>236</v>
      </c>
    </row>
    <row r="173" spans="1:10" ht="30" customHeight="1" x14ac:dyDescent="0.35">
      <c r="A173" s="7">
        <v>46278.824120370373</v>
      </c>
      <c r="B173" s="8" t="s">
        <v>14</v>
      </c>
      <c r="C173" s="8" t="s">
        <v>188</v>
      </c>
      <c r="D173" s="8" t="s">
        <v>219</v>
      </c>
      <c r="E173" s="8" t="s">
        <v>225</v>
      </c>
      <c r="F173" s="8" t="s">
        <v>229</v>
      </c>
      <c r="G173" s="8" t="s">
        <v>231</v>
      </c>
      <c r="H173" s="8">
        <v>58</v>
      </c>
      <c r="I173" s="8">
        <v>3</v>
      </c>
      <c r="J173" s="8" t="s">
        <v>238</v>
      </c>
    </row>
    <row r="174" spans="1:10" ht="30" customHeight="1" x14ac:dyDescent="0.35">
      <c r="A174" s="7">
        <v>46269.060300925928</v>
      </c>
      <c r="B174" s="8" t="s">
        <v>12</v>
      </c>
      <c r="C174" s="8" t="s">
        <v>189</v>
      </c>
      <c r="D174" s="8" t="s">
        <v>218</v>
      </c>
      <c r="E174" s="8" t="s">
        <v>222</v>
      </c>
      <c r="F174" s="8" t="s">
        <v>227</v>
      </c>
      <c r="G174" s="8" t="s">
        <v>232</v>
      </c>
      <c r="H174" s="8">
        <v>55</v>
      </c>
      <c r="I174" s="8">
        <v>5</v>
      </c>
      <c r="J174" s="8" t="s">
        <v>238</v>
      </c>
    </row>
    <row r="175" spans="1:10" ht="30" customHeight="1" x14ac:dyDescent="0.35">
      <c r="A175" s="7">
        <v>46274.306527777779</v>
      </c>
      <c r="B175" s="8" t="s">
        <v>16</v>
      </c>
      <c r="C175" s="8" t="s">
        <v>190</v>
      </c>
      <c r="D175" s="8" t="s">
        <v>221</v>
      </c>
      <c r="E175" s="8" t="s">
        <v>222</v>
      </c>
      <c r="F175" s="8" t="s">
        <v>227</v>
      </c>
      <c r="G175" s="8" t="s">
        <v>230</v>
      </c>
      <c r="H175" s="8">
        <v>25</v>
      </c>
      <c r="I175" s="8">
        <v>3</v>
      </c>
      <c r="J175" s="8" t="s">
        <v>237</v>
      </c>
    </row>
    <row r="176" spans="1:10" ht="30" customHeight="1" x14ac:dyDescent="0.35">
      <c r="A176" s="7">
        <v>46289.31658564815</v>
      </c>
      <c r="B176" s="8" t="s">
        <v>13</v>
      </c>
      <c r="C176" s="8" t="s">
        <v>191</v>
      </c>
      <c r="D176" s="8" t="s">
        <v>218</v>
      </c>
      <c r="E176" s="8" t="s">
        <v>224</v>
      </c>
      <c r="F176" s="8" t="s">
        <v>227</v>
      </c>
      <c r="G176" s="8" t="s">
        <v>234</v>
      </c>
      <c r="H176" s="8">
        <v>12</v>
      </c>
      <c r="I176" s="8">
        <v>5</v>
      </c>
      <c r="J176" s="8" t="s">
        <v>235</v>
      </c>
    </row>
    <row r="177" spans="1:10" ht="30" customHeight="1" x14ac:dyDescent="0.35">
      <c r="A177" s="7">
        <v>46293.979895833327</v>
      </c>
      <c r="B177" s="8" t="s">
        <v>12</v>
      </c>
      <c r="C177" s="8" t="s">
        <v>192</v>
      </c>
      <c r="D177" s="8" t="s">
        <v>218</v>
      </c>
      <c r="E177" s="8" t="s">
        <v>224</v>
      </c>
      <c r="F177" s="8" t="s">
        <v>229</v>
      </c>
      <c r="G177" s="8" t="s">
        <v>230</v>
      </c>
      <c r="H177" s="8">
        <v>25</v>
      </c>
      <c r="I177" s="8">
        <v>3</v>
      </c>
      <c r="J177" s="8" t="s">
        <v>235</v>
      </c>
    </row>
    <row r="178" spans="1:10" ht="30" customHeight="1" x14ac:dyDescent="0.35">
      <c r="A178" s="7">
        <v>46284.798993055563</v>
      </c>
      <c r="B178" s="8" t="s">
        <v>10</v>
      </c>
      <c r="C178" s="8" t="s">
        <v>193</v>
      </c>
      <c r="D178" s="8" t="s">
        <v>217</v>
      </c>
      <c r="E178" s="8" t="s">
        <v>222</v>
      </c>
      <c r="F178" s="8" t="s">
        <v>229</v>
      </c>
      <c r="G178" s="8" t="s">
        <v>233</v>
      </c>
      <c r="H178" s="8">
        <v>25</v>
      </c>
      <c r="I178" s="8">
        <v>3</v>
      </c>
      <c r="J178" s="8" t="s">
        <v>237</v>
      </c>
    </row>
    <row r="179" spans="1:10" ht="30" customHeight="1" x14ac:dyDescent="0.35">
      <c r="A179" s="7">
        <v>46271.391956018517</v>
      </c>
      <c r="B179" s="8" t="s">
        <v>11</v>
      </c>
      <c r="C179" s="8" t="s">
        <v>194</v>
      </c>
      <c r="D179" s="8" t="s">
        <v>221</v>
      </c>
      <c r="E179" s="8" t="s">
        <v>222</v>
      </c>
      <c r="F179" s="8" t="s">
        <v>226</v>
      </c>
      <c r="G179" s="8" t="s">
        <v>234</v>
      </c>
      <c r="H179" s="8">
        <v>54</v>
      </c>
      <c r="I179" s="8">
        <v>3</v>
      </c>
      <c r="J179" s="8" t="s">
        <v>235</v>
      </c>
    </row>
    <row r="180" spans="1:10" ht="30" customHeight="1" x14ac:dyDescent="0.35">
      <c r="A180" s="7">
        <v>46288.87939814815</v>
      </c>
      <c r="B180" s="8" t="s">
        <v>9</v>
      </c>
      <c r="C180" s="8" t="s">
        <v>195</v>
      </c>
      <c r="D180" s="8" t="s">
        <v>218</v>
      </c>
      <c r="E180" s="8" t="s">
        <v>222</v>
      </c>
      <c r="F180" s="8" t="s">
        <v>229</v>
      </c>
      <c r="G180" s="8" t="s">
        <v>233</v>
      </c>
      <c r="H180" s="8">
        <v>70</v>
      </c>
      <c r="I180" s="8">
        <v>2</v>
      </c>
      <c r="J180" s="8" t="s">
        <v>236</v>
      </c>
    </row>
    <row r="181" spans="1:10" ht="30" customHeight="1" x14ac:dyDescent="0.35">
      <c r="A181" s="7">
        <v>46294.125625000001</v>
      </c>
      <c r="B181" s="8" t="s">
        <v>9</v>
      </c>
      <c r="C181" s="8" t="s">
        <v>196</v>
      </c>
      <c r="D181" s="8" t="s">
        <v>218</v>
      </c>
      <c r="E181" s="8" t="s">
        <v>222</v>
      </c>
      <c r="F181" s="8" t="s">
        <v>227</v>
      </c>
      <c r="G181" s="8" t="s">
        <v>232</v>
      </c>
      <c r="H181" s="8">
        <v>25</v>
      </c>
      <c r="I181" s="8">
        <v>2</v>
      </c>
      <c r="J181" s="8" t="s">
        <v>238</v>
      </c>
    </row>
    <row r="182" spans="1:10" ht="30" customHeight="1" x14ac:dyDescent="0.35">
      <c r="A182" s="7">
        <v>46266.145729166667</v>
      </c>
      <c r="B182" s="8" t="s">
        <v>14</v>
      </c>
      <c r="C182" s="8" t="s">
        <v>197</v>
      </c>
      <c r="D182" s="8" t="s">
        <v>221</v>
      </c>
      <c r="E182" s="8" t="s">
        <v>224</v>
      </c>
      <c r="F182" s="8" t="s">
        <v>227</v>
      </c>
      <c r="G182" s="8" t="s">
        <v>234</v>
      </c>
      <c r="H182" s="8">
        <v>12</v>
      </c>
      <c r="I182" s="8">
        <v>3</v>
      </c>
      <c r="J182" s="8" t="s">
        <v>237</v>
      </c>
    </row>
    <row r="183" spans="1:10" ht="30" customHeight="1" x14ac:dyDescent="0.35">
      <c r="A183" s="7">
        <v>46273.577893518523</v>
      </c>
      <c r="B183" s="8" t="s">
        <v>13</v>
      </c>
      <c r="C183" s="8" t="s">
        <v>198</v>
      </c>
      <c r="D183" s="8" t="s">
        <v>221</v>
      </c>
      <c r="E183" s="8" t="s">
        <v>222</v>
      </c>
      <c r="F183" s="8" t="s">
        <v>229</v>
      </c>
      <c r="G183" s="8" t="s">
        <v>233</v>
      </c>
      <c r="H183" s="8">
        <v>25</v>
      </c>
      <c r="I183" s="8">
        <v>3</v>
      </c>
      <c r="J183" s="8" t="s">
        <v>237</v>
      </c>
    </row>
    <row r="184" spans="1:10" ht="30" customHeight="1" x14ac:dyDescent="0.35">
      <c r="A184" s="7">
        <v>46287.713564814818</v>
      </c>
      <c r="B184" s="8" t="s">
        <v>14</v>
      </c>
      <c r="C184" s="8" t="s">
        <v>199</v>
      </c>
      <c r="D184" s="8" t="s">
        <v>218</v>
      </c>
      <c r="E184" s="8" t="s">
        <v>224</v>
      </c>
      <c r="F184" s="8" t="s">
        <v>227</v>
      </c>
      <c r="G184" s="8" t="s">
        <v>232</v>
      </c>
      <c r="H184" s="8">
        <v>12</v>
      </c>
      <c r="I184" s="8">
        <v>3</v>
      </c>
      <c r="J184" s="8" t="s">
        <v>235</v>
      </c>
    </row>
    <row r="185" spans="1:10" ht="30" customHeight="1" x14ac:dyDescent="0.35">
      <c r="A185" s="7">
        <v>46284.944722222222</v>
      </c>
      <c r="B185" s="8" t="s">
        <v>13</v>
      </c>
      <c r="C185" s="8" t="s">
        <v>200</v>
      </c>
      <c r="D185" s="8" t="s">
        <v>221</v>
      </c>
      <c r="E185" s="8" t="s">
        <v>224</v>
      </c>
      <c r="F185" s="8" t="s">
        <v>226</v>
      </c>
      <c r="G185" s="8" t="s">
        <v>230</v>
      </c>
      <c r="H185" s="8">
        <v>12</v>
      </c>
      <c r="I185" s="8">
        <v>3</v>
      </c>
      <c r="J185" s="8" t="s">
        <v>237</v>
      </c>
    </row>
    <row r="186" spans="1:10" ht="30" customHeight="1" x14ac:dyDescent="0.35">
      <c r="A186" s="7">
        <v>46288.005023148151</v>
      </c>
      <c r="B186" s="8" t="s">
        <v>15</v>
      </c>
      <c r="C186" s="8" t="s">
        <v>201</v>
      </c>
      <c r="D186" s="8" t="s">
        <v>218</v>
      </c>
      <c r="E186" s="8" t="s">
        <v>222</v>
      </c>
      <c r="F186" s="8" t="s">
        <v>226</v>
      </c>
      <c r="G186" s="8" t="s">
        <v>232</v>
      </c>
      <c r="H186" s="8">
        <v>12</v>
      </c>
      <c r="I186" s="8">
        <v>2</v>
      </c>
      <c r="J186" s="8" t="s">
        <v>236</v>
      </c>
    </row>
    <row r="187" spans="1:10" ht="30" customHeight="1" x14ac:dyDescent="0.35">
      <c r="A187" s="7">
        <v>46281.010046296287</v>
      </c>
      <c r="B187" s="8" t="s">
        <v>11</v>
      </c>
      <c r="C187" s="8" t="s">
        <v>202</v>
      </c>
      <c r="D187" s="8" t="s">
        <v>218</v>
      </c>
      <c r="E187" s="8" t="s">
        <v>222</v>
      </c>
      <c r="F187" s="8" t="s">
        <v>226</v>
      </c>
      <c r="G187" s="8" t="s">
        <v>231</v>
      </c>
      <c r="H187" s="8">
        <v>25</v>
      </c>
      <c r="I187" s="8">
        <v>3</v>
      </c>
      <c r="J187" s="8" t="s">
        <v>235</v>
      </c>
    </row>
    <row r="188" spans="1:10" ht="30" customHeight="1" x14ac:dyDescent="0.35">
      <c r="A188" s="7">
        <v>46280.427141203712</v>
      </c>
      <c r="B188" s="8" t="s">
        <v>9</v>
      </c>
      <c r="C188" s="8" t="s">
        <v>203</v>
      </c>
      <c r="D188" s="8" t="s">
        <v>217</v>
      </c>
      <c r="E188" s="8" t="s">
        <v>224</v>
      </c>
      <c r="F188" s="8" t="s">
        <v>227</v>
      </c>
      <c r="G188" s="8" t="s">
        <v>232</v>
      </c>
      <c r="H188" s="8">
        <v>25</v>
      </c>
      <c r="I188" s="8">
        <v>3</v>
      </c>
      <c r="J188" s="8" t="s">
        <v>235</v>
      </c>
    </row>
    <row r="189" spans="1:10" ht="30" customHeight="1" x14ac:dyDescent="0.35">
      <c r="A189" s="7">
        <v>46282.90452546296</v>
      </c>
      <c r="B189" s="8" t="s">
        <v>13</v>
      </c>
      <c r="C189" s="8" t="s">
        <v>204</v>
      </c>
      <c r="D189" s="8" t="s">
        <v>220</v>
      </c>
      <c r="E189" s="8" t="s">
        <v>223</v>
      </c>
      <c r="F189" s="8" t="s">
        <v>227</v>
      </c>
      <c r="G189" s="8" t="s">
        <v>232</v>
      </c>
      <c r="H189" s="8">
        <v>25</v>
      </c>
      <c r="I189" s="8">
        <v>3</v>
      </c>
      <c r="J189" s="8" t="s">
        <v>235</v>
      </c>
    </row>
    <row r="190" spans="1:10" ht="30" customHeight="1" x14ac:dyDescent="0.35">
      <c r="A190" s="7">
        <v>46278.678391203714</v>
      </c>
      <c r="B190" s="8" t="s">
        <v>11</v>
      </c>
      <c r="C190" s="8" t="s">
        <v>205</v>
      </c>
      <c r="D190" s="8" t="s">
        <v>218</v>
      </c>
      <c r="E190" s="8" t="s">
        <v>222</v>
      </c>
      <c r="F190" s="8" t="s">
        <v>227</v>
      </c>
      <c r="G190" s="8" t="s">
        <v>231</v>
      </c>
      <c r="H190" s="8">
        <v>25</v>
      </c>
      <c r="I190" s="8">
        <v>3</v>
      </c>
      <c r="J190" s="8" t="s">
        <v>235</v>
      </c>
    </row>
    <row r="191" spans="1:10" ht="30" customHeight="1" x14ac:dyDescent="0.35">
      <c r="A191" s="7">
        <v>46276.78392361111</v>
      </c>
      <c r="B191" s="8" t="s">
        <v>10</v>
      </c>
      <c r="C191" s="8" t="s">
        <v>206</v>
      </c>
      <c r="D191" s="8" t="s">
        <v>219</v>
      </c>
      <c r="E191" s="8" t="s">
        <v>224</v>
      </c>
      <c r="F191" s="8" t="s">
        <v>227</v>
      </c>
      <c r="G191" s="8" t="s">
        <v>233</v>
      </c>
      <c r="H191" s="8">
        <v>25</v>
      </c>
      <c r="I191" s="8">
        <v>3</v>
      </c>
      <c r="J191" s="8" t="s">
        <v>236</v>
      </c>
    </row>
    <row r="192" spans="1:10" ht="30" customHeight="1" x14ac:dyDescent="0.35">
      <c r="A192" s="7">
        <v>46283.633171296293</v>
      </c>
      <c r="B192" s="8" t="s">
        <v>10</v>
      </c>
      <c r="C192" s="8" t="s">
        <v>207</v>
      </c>
      <c r="D192" s="8" t="s">
        <v>220</v>
      </c>
      <c r="E192" s="8" t="s">
        <v>222</v>
      </c>
      <c r="F192" s="8" t="s">
        <v>226</v>
      </c>
      <c r="G192" s="8" t="s">
        <v>233</v>
      </c>
      <c r="H192" s="8">
        <v>17</v>
      </c>
      <c r="I192" s="8">
        <v>3</v>
      </c>
      <c r="J192" s="8" t="s">
        <v>235</v>
      </c>
    </row>
    <row r="193" spans="1:11" ht="30" customHeight="1" x14ac:dyDescent="0.35">
      <c r="A193" s="7">
        <v>46295</v>
      </c>
      <c r="B193" s="8" t="s">
        <v>9</v>
      </c>
      <c r="C193" s="8" t="s">
        <v>208</v>
      </c>
      <c r="D193" s="8" t="s">
        <v>220</v>
      </c>
      <c r="E193" s="8" t="s">
        <v>224</v>
      </c>
      <c r="F193" s="8" t="s">
        <v>229</v>
      </c>
      <c r="G193" s="8" t="s">
        <v>232</v>
      </c>
      <c r="H193" s="8">
        <v>23</v>
      </c>
      <c r="I193" s="8">
        <v>1</v>
      </c>
      <c r="J193" s="8" t="s">
        <v>237</v>
      </c>
    </row>
    <row r="194" spans="1:11" ht="30" customHeight="1" x14ac:dyDescent="0.35">
      <c r="A194" s="7">
        <v>46268.914571759262</v>
      </c>
      <c r="B194" s="8" t="s">
        <v>9</v>
      </c>
      <c r="C194" s="8" t="s">
        <v>209</v>
      </c>
      <c r="D194" s="8" t="s">
        <v>220</v>
      </c>
      <c r="E194" s="8" t="s">
        <v>222</v>
      </c>
      <c r="F194" s="8" t="s">
        <v>229</v>
      </c>
      <c r="G194" s="8" t="s">
        <v>231</v>
      </c>
      <c r="H194" s="8">
        <v>25</v>
      </c>
      <c r="I194" s="8">
        <v>3</v>
      </c>
      <c r="J194" s="8" t="s">
        <v>236</v>
      </c>
    </row>
    <row r="195" spans="1:11" ht="30" customHeight="1" x14ac:dyDescent="0.35">
      <c r="A195" s="7">
        <v>46293.396979166668</v>
      </c>
      <c r="B195" s="8" t="s">
        <v>11</v>
      </c>
      <c r="C195" s="8" t="s">
        <v>210</v>
      </c>
      <c r="D195" s="8" t="s">
        <v>217</v>
      </c>
      <c r="E195" s="8" t="s">
        <v>222</v>
      </c>
      <c r="F195" s="8" t="s">
        <v>227</v>
      </c>
      <c r="G195" s="8" t="s">
        <v>231</v>
      </c>
      <c r="H195" s="8">
        <v>25</v>
      </c>
      <c r="I195" s="8">
        <v>3</v>
      </c>
      <c r="J195" s="8" t="s">
        <v>238</v>
      </c>
    </row>
    <row r="196" spans="1:11" ht="30" customHeight="1" x14ac:dyDescent="0.35">
      <c r="A196" s="7">
        <v>46276.346736111111</v>
      </c>
      <c r="B196" s="8" t="s">
        <v>13</v>
      </c>
      <c r="C196" s="8" t="s">
        <v>211</v>
      </c>
      <c r="D196" s="8" t="s">
        <v>218</v>
      </c>
      <c r="E196" s="8" t="s">
        <v>223</v>
      </c>
      <c r="F196" s="8" t="s">
        <v>229</v>
      </c>
      <c r="G196" s="8" t="s">
        <v>230</v>
      </c>
      <c r="H196" s="8">
        <v>14</v>
      </c>
      <c r="I196" s="8">
        <v>2</v>
      </c>
      <c r="J196" s="8" t="s">
        <v>238</v>
      </c>
    </row>
    <row r="197" spans="1:11" ht="30" customHeight="1" x14ac:dyDescent="0.35">
      <c r="A197" s="7">
        <v>46281.447233796287</v>
      </c>
      <c r="B197" s="8" t="s">
        <v>14</v>
      </c>
      <c r="C197" s="8" t="s">
        <v>212</v>
      </c>
      <c r="D197" s="8" t="s">
        <v>217</v>
      </c>
      <c r="E197" s="8" t="s">
        <v>224</v>
      </c>
      <c r="F197" s="8" t="s">
        <v>229</v>
      </c>
      <c r="G197" s="8" t="s">
        <v>233</v>
      </c>
      <c r="H197" s="8">
        <v>25</v>
      </c>
      <c r="I197" s="8">
        <v>3</v>
      </c>
      <c r="J197" s="8" t="s">
        <v>237</v>
      </c>
    </row>
    <row r="198" spans="1:11" ht="30" customHeight="1" x14ac:dyDescent="0.35">
      <c r="A198" s="7">
        <v>46268.040196759262</v>
      </c>
      <c r="B198" s="8" t="s">
        <v>13</v>
      </c>
      <c r="C198" s="8" t="s">
        <v>213</v>
      </c>
      <c r="D198" s="8" t="s">
        <v>218</v>
      </c>
      <c r="E198" s="8" t="s">
        <v>223</v>
      </c>
      <c r="F198" s="8" t="s">
        <v>227</v>
      </c>
      <c r="G198" s="8" t="s">
        <v>234</v>
      </c>
      <c r="H198" s="8">
        <v>9</v>
      </c>
      <c r="I198" s="8">
        <v>5</v>
      </c>
      <c r="J198" s="8" t="s">
        <v>237</v>
      </c>
    </row>
    <row r="199" spans="1:11" ht="30" customHeight="1" x14ac:dyDescent="0.35">
      <c r="A199" s="7">
        <v>46279.407037037039</v>
      </c>
      <c r="B199" s="8" t="s">
        <v>14</v>
      </c>
      <c r="C199" s="8" t="s">
        <v>214</v>
      </c>
      <c r="D199" s="8" t="s">
        <v>217</v>
      </c>
      <c r="E199" s="8" t="s">
        <v>223</v>
      </c>
      <c r="F199" s="8" t="s">
        <v>227</v>
      </c>
      <c r="G199" s="8" t="s">
        <v>233</v>
      </c>
      <c r="H199" s="8">
        <v>48</v>
      </c>
      <c r="I199" s="8">
        <v>3</v>
      </c>
      <c r="J199" s="8" t="s">
        <v>236</v>
      </c>
    </row>
    <row r="200" spans="1:11" ht="30" customHeight="1" x14ac:dyDescent="0.35">
      <c r="A200" s="7">
        <v>46292.085428240738</v>
      </c>
      <c r="B200" s="8" t="s">
        <v>15</v>
      </c>
      <c r="C200" s="8" t="s">
        <v>215</v>
      </c>
      <c r="D200" s="8" t="s">
        <v>217</v>
      </c>
      <c r="E200" s="8" t="s">
        <v>225</v>
      </c>
      <c r="F200" s="8" t="s">
        <v>226</v>
      </c>
      <c r="G200" s="8" t="s">
        <v>233</v>
      </c>
      <c r="H200" s="8">
        <v>59</v>
      </c>
      <c r="I200" s="8">
        <v>3</v>
      </c>
      <c r="J200" s="8" t="s">
        <v>238</v>
      </c>
    </row>
    <row r="201" spans="1:11" ht="30" customHeight="1" x14ac:dyDescent="0.35">
      <c r="A201" s="7">
        <v>46280.864317129628</v>
      </c>
      <c r="B201" s="8" t="s">
        <v>16</v>
      </c>
      <c r="C201" s="8" t="s">
        <v>216</v>
      </c>
      <c r="D201" s="8" t="s">
        <v>219</v>
      </c>
      <c r="E201" s="8" t="s">
        <v>224</v>
      </c>
      <c r="F201" s="8" t="s">
        <v>226</v>
      </c>
      <c r="G201" s="8" t="s">
        <v>230</v>
      </c>
      <c r="H201" s="8">
        <v>39</v>
      </c>
      <c r="I201" s="8">
        <v>2</v>
      </c>
      <c r="J201" s="8" t="s">
        <v>238</v>
      </c>
    </row>
    <row r="203" spans="1:11" x14ac:dyDescent="0.35">
      <c r="G203" s="3" t="str" cm="1">
        <f t="array" ref="G203:G207">_xlfn.UNIQUE(G2:G201)</f>
        <v>MCD</v>
      </c>
      <c r="H203" s="3">
        <f>COUNTIF(G2:G201,G203)</f>
        <v>31</v>
      </c>
      <c r="J203" s="3" t="str" cm="1">
        <f t="array" ref="J203:J206">_xlfn.UNIQUE(J2:J201)</f>
        <v>e-District Portal</v>
      </c>
      <c r="K203" s="3">
        <f>COUNTIF($J$2:$J$201,J203)</f>
        <v>61</v>
      </c>
    </row>
    <row r="204" spans="1:11" x14ac:dyDescent="0.35">
      <c r="G204" s="3" t="str">
        <v>PWD</v>
      </c>
      <c r="H204" s="3">
        <f>COUNTIF(G2:G201,G204)</f>
        <v>41</v>
      </c>
      <c r="J204" s="3" t="str">
        <v>LG Listening Post</v>
      </c>
      <c r="K204" s="3">
        <f t="shared" ref="K204:K206" si="0">COUNTIF($J$2:$J$201,J204)</f>
        <v>45</v>
      </c>
    </row>
    <row r="205" spans="1:11" x14ac:dyDescent="0.35">
      <c r="G205" s="3" t="str">
        <v>Revenue Dept</v>
      </c>
      <c r="H205" s="3">
        <f>COUNTIF($G2:$G201,G205)</f>
        <v>48</v>
      </c>
      <c r="J205" s="3" t="str">
        <v>CSC</v>
      </c>
      <c r="K205" s="3">
        <f t="shared" si="0"/>
        <v>45</v>
      </c>
    </row>
    <row r="206" spans="1:11" x14ac:dyDescent="0.35">
      <c r="G206" s="3" t="str">
        <v>Social Welfare</v>
      </c>
      <c r="H206" s="3">
        <f>COUNTIF($G2:$G201,G206)</f>
        <v>41</v>
      </c>
      <c r="I206" s="3">
        <f>AVERAGE(H2:H201)</f>
        <v>33.755000000000003</v>
      </c>
      <c r="J206" s="3" t="str">
        <v>Mobile App</v>
      </c>
      <c r="K206" s="3">
        <f t="shared" si="0"/>
        <v>49</v>
      </c>
    </row>
    <row r="207" spans="1:11" x14ac:dyDescent="0.35">
      <c r="G207" s="3" t="str">
        <v>Transport Dept</v>
      </c>
      <c r="H207" s="3">
        <f>COUNTIF($G2:$G201,G207)</f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B1:AI40"/>
  <sheetViews>
    <sheetView showGridLines="0" tabSelected="1" zoomScale="57" zoomScaleNormal="122" workbookViewId="0">
      <selection activeCell="B1" sqref="B1:Z3"/>
    </sheetView>
  </sheetViews>
  <sheetFormatPr defaultRowHeight="14.5" x14ac:dyDescent="0.35"/>
  <cols>
    <col min="1" max="1" width="2.7265625" style="9" customWidth="1"/>
    <col min="2" max="10" width="15.7265625" style="9" customWidth="1"/>
    <col min="11" max="12" width="8.7265625" style="9"/>
    <col min="13" max="13" width="8.7265625" style="9" customWidth="1"/>
    <col min="14" max="21" width="8.7265625" style="9"/>
    <col min="22" max="22" width="8.08984375" style="9" customWidth="1"/>
    <col min="23" max="23" width="0.453125" style="9" customWidth="1"/>
    <col min="24" max="16384" width="8.7265625" style="9"/>
  </cols>
  <sheetData>
    <row r="1" spans="2:29" ht="14.5" customHeight="1" x14ac:dyDescent="0.35">
      <c r="B1" s="17" t="s">
        <v>273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2:29" ht="14.5" customHeight="1" x14ac:dyDescent="0.3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2:29" ht="20.5" customHeight="1" x14ac:dyDescent="0.3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2:29" ht="26" x14ac:dyDescent="0.6">
      <c r="B4" s="13" t="s">
        <v>281</v>
      </c>
      <c r="C4" s="13"/>
      <c r="D4" s="13"/>
      <c r="E4" s="13" t="s">
        <v>282</v>
      </c>
      <c r="F4" s="13"/>
      <c r="G4" s="13"/>
      <c r="H4" s="13" t="s">
        <v>283</v>
      </c>
      <c r="I4" s="13"/>
      <c r="J4" s="13"/>
      <c r="K4" s="13" t="s">
        <v>284</v>
      </c>
      <c r="L4" s="13"/>
      <c r="M4" s="13"/>
      <c r="N4" s="13"/>
      <c r="O4" s="13"/>
      <c r="P4" s="13"/>
      <c r="Q4" s="13" t="s">
        <v>285</v>
      </c>
      <c r="R4" s="13"/>
      <c r="S4" s="13"/>
      <c r="T4" s="13"/>
      <c r="U4" s="13"/>
      <c r="V4" s="13"/>
      <c r="W4" s="14"/>
    </row>
    <row r="5" spans="2:29" ht="23.5" x14ac:dyDescent="0.55000000000000004">
      <c r="B5" s="13">
        <f>COUNTA(Raw_Data!C2:C201)</f>
        <v>200</v>
      </c>
      <c r="C5" s="13"/>
      <c r="D5" s="13"/>
      <c r="E5" s="15">
        <f>COUNTIF(Raw_Data!D2:D201,"Welfare Scheme")</f>
        <v>49</v>
      </c>
      <c r="F5" s="15"/>
      <c r="G5" s="15"/>
      <c r="H5" s="16">
        <f>COUNTIF(Raw_Data!G2:G201,"REVENUE DEPT")</f>
        <v>48</v>
      </c>
      <c r="I5" s="16"/>
      <c r="J5" s="16"/>
      <c r="K5" s="13">
        <f>AVERAGE(Raw_Data!H2:H201)</f>
        <v>33.755000000000003</v>
      </c>
      <c r="L5" s="13"/>
      <c r="M5" s="13"/>
      <c r="N5" s="13"/>
      <c r="O5" s="13"/>
      <c r="P5" s="13"/>
      <c r="Q5" s="16">
        <f>COUNTIF(Raw_Data!J2:J201,"E-DISTRICT PORTAL")</f>
        <v>61</v>
      </c>
      <c r="R5" s="16"/>
      <c r="S5" s="16"/>
      <c r="T5" s="16"/>
      <c r="U5" s="16"/>
      <c r="V5" s="16"/>
      <c r="W5" s="16"/>
      <c r="X5" s="11"/>
      <c r="Y5" s="11"/>
      <c r="Z5" s="11"/>
      <c r="AA5" s="11"/>
      <c r="AB5" s="11"/>
      <c r="AC5" s="11"/>
    </row>
    <row r="6" spans="2:29" ht="14.5" customHeight="1" x14ac:dyDescent="0.35">
      <c r="B6" s="13"/>
      <c r="C6" s="13"/>
      <c r="D6" s="13"/>
      <c r="E6" s="15"/>
      <c r="F6" s="15"/>
      <c r="G6" s="15"/>
      <c r="H6" s="16"/>
      <c r="I6" s="16"/>
      <c r="J6" s="16"/>
      <c r="K6" s="13"/>
      <c r="L6" s="13"/>
      <c r="M6" s="13"/>
      <c r="N6" s="13"/>
      <c r="O6" s="13"/>
      <c r="P6" s="13"/>
      <c r="Q6" s="16"/>
      <c r="R6" s="16"/>
      <c r="S6" s="16"/>
      <c r="T6" s="16"/>
      <c r="U6" s="16"/>
      <c r="V6" s="16"/>
      <c r="W6" s="16"/>
      <c r="X6" s="12"/>
      <c r="Y6" s="12"/>
      <c r="Z6" s="12"/>
      <c r="AA6" s="12"/>
      <c r="AB6" s="12"/>
      <c r="AC6" s="12"/>
    </row>
    <row r="7" spans="2:29" ht="9" customHeight="1" x14ac:dyDescent="0.6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6"/>
      <c r="R7" s="16"/>
      <c r="S7" s="16"/>
      <c r="T7" s="16"/>
      <c r="U7" s="16"/>
      <c r="V7" s="16"/>
      <c r="W7" s="16"/>
      <c r="X7" s="12"/>
      <c r="Y7" s="12"/>
      <c r="Z7" s="12"/>
      <c r="AA7" s="12"/>
      <c r="AB7" s="12"/>
      <c r="AC7" s="12"/>
    </row>
    <row r="8" spans="2:29" x14ac:dyDescent="0.35">
      <c r="U8" s="10"/>
    </row>
    <row r="40" spans="35:35" x14ac:dyDescent="0.35">
      <c r="AI40" s="10"/>
    </row>
  </sheetData>
  <mergeCells count="15">
    <mergeCell ref="B1:Z3"/>
    <mergeCell ref="Q4:V4"/>
    <mergeCell ref="Q5:W7"/>
    <mergeCell ref="B4:D4"/>
    <mergeCell ref="E4:G4"/>
    <mergeCell ref="H4:J4"/>
    <mergeCell ref="B5:D6"/>
    <mergeCell ref="E5:G6"/>
    <mergeCell ref="H5:J6"/>
    <mergeCell ref="K4:P4"/>
    <mergeCell ref="K5:P6"/>
    <mergeCell ref="X5:Z5"/>
    <mergeCell ref="X6:Z7"/>
    <mergeCell ref="AA5:AC5"/>
    <mergeCell ref="AA6:A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C5C7-9063-40DD-8D5F-DC877E5958D8}">
  <dimension ref="A3:B12"/>
  <sheetViews>
    <sheetView workbookViewId="0">
      <selection activeCell="B10" sqref="B10"/>
    </sheetView>
  </sheetViews>
  <sheetFormatPr defaultRowHeight="14.5" x14ac:dyDescent="0.35"/>
  <cols>
    <col min="1" max="1" width="23.1796875" bestFit="1" customWidth="1"/>
    <col min="2" max="2" width="23.08984375" bestFit="1" customWidth="1"/>
  </cols>
  <sheetData>
    <row r="3" spans="1:2" x14ac:dyDescent="0.35">
      <c r="A3" s="4" t="s">
        <v>274</v>
      </c>
      <c r="B3" t="s">
        <v>276</v>
      </c>
    </row>
    <row r="4" spans="1:2" x14ac:dyDescent="0.35">
      <c r="A4" s="5" t="s">
        <v>13</v>
      </c>
      <c r="B4">
        <v>31</v>
      </c>
    </row>
    <row r="5" spans="1:2" x14ac:dyDescent="0.35">
      <c r="A5" s="5" t="s">
        <v>12</v>
      </c>
      <c r="B5">
        <v>19</v>
      </c>
    </row>
    <row r="6" spans="1:2" x14ac:dyDescent="0.35">
      <c r="A6" s="5" t="s">
        <v>14</v>
      </c>
      <c r="B6">
        <v>24</v>
      </c>
    </row>
    <row r="7" spans="1:2" x14ac:dyDescent="0.35">
      <c r="A7" s="5" t="s">
        <v>9</v>
      </c>
      <c r="B7">
        <v>22</v>
      </c>
    </row>
    <row r="8" spans="1:2" x14ac:dyDescent="0.35">
      <c r="A8" s="5" t="s">
        <v>10</v>
      </c>
      <c r="B8">
        <v>31</v>
      </c>
    </row>
    <row r="9" spans="1:2" x14ac:dyDescent="0.35">
      <c r="A9" s="5" t="s">
        <v>11</v>
      </c>
      <c r="B9">
        <v>20</v>
      </c>
    </row>
    <row r="10" spans="1:2" x14ac:dyDescent="0.35">
      <c r="A10" s="5" t="s">
        <v>16</v>
      </c>
      <c r="B10">
        <v>30</v>
      </c>
    </row>
    <row r="11" spans="1:2" x14ac:dyDescent="0.35">
      <c r="A11" s="5" t="s">
        <v>15</v>
      </c>
      <c r="B11">
        <v>23</v>
      </c>
    </row>
    <row r="12" spans="1:2" x14ac:dyDescent="0.35">
      <c r="A12" s="5" t="s">
        <v>275</v>
      </c>
      <c r="B12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F97A-3A5D-4143-AADF-3D37FB32531D}">
  <dimension ref="A3:B9"/>
  <sheetViews>
    <sheetView workbookViewId="0">
      <selection activeCell="A8" sqref="A8"/>
    </sheetView>
  </sheetViews>
  <sheetFormatPr defaultRowHeight="14.5" x14ac:dyDescent="0.35"/>
  <cols>
    <col min="1" max="1" width="22.90625" bestFit="1" customWidth="1"/>
    <col min="2" max="2" width="23.08984375" bestFit="1" customWidth="1"/>
    <col min="3" max="3" width="14.6328125" bestFit="1" customWidth="1"/>
    <col min="4" max="4" width="17.26953125" bestFit="1" customWidth="1"/>
    <col min="5" max="5" width="23.1796875" bestFit="1" customWidth="1"/>
    <col min="6" max="6" width="14.453125" bestFit="1" customWidth="1"/>
    <col min="7" max="7" width="10.7265625" bestFit="1" customWidth="1"/>
  </cols>
  <sheetData>
    <row r="3" spans="1:2" x14ac:dyDescent="0.35">
      <c r="A3" s="4" t="s">
        <v>274</v>
      </c>
      <c r="B3" t="s">
        <v>276</v>
      </c>
    </row>
    <row r="4" spans="1:2" x14ac:dyDescent="0.35">
      <c r="A4" s="5" t="s">
        <v>218</v>
      </c>
      <c r="B4">
        <v>44</v>
      </c>
    </row>
    <row r="5" spans="1:2" x14ac:dyDescent="0.35">
      <c r="A5" s="5" t="s">
        <v>219</v>
      </c>
      <c r="B5">
        <v>32</v>
      </c>
    </row>
    <row r="6" spans="1:2" x14ac:dyDescent="0.35">
      <c r="A6" s="5" t="s">
        <v>220</v>
      </c>
      <c r="B6">
        <v>41</v>
      </c>
    </row>
    <row r="7" spans="1:2" x14ac:dyDescent="0.35">
      <c r="A7" s="5" t="s">
        <v>221</v>
      </c>
      <c r="B7">
        <v>34</v>
      </c>
    </row>
    <row r="8" spans="1:2" x14ac:dyDescent="0.35">
      <c r="A8" s="5" t="s">
        <v>217</v>
      </c>
      <c r="B8">
        <v>49</v>
      </c>
    </row>
    <row r="9" spans="1:2" x14ac:dyDescent="0.35">
      <c r="A9" s="5" t="s">
        <v>275</v>
      </c>
      <c r="B9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E5C1-78CA-4D42-9B01-289548EBB381}">
  <dimension ref="A3:B12"/>
  <sheetViews>
    <sheetView workbookViewId="0">
      <selection activeCell="B9" sqref="B9"/>
    </sheetView>
  </sheetViews>
  <sheetFormatPr defaultRowHeight="14.5" x14ac:dyDescent="0.35"/>
  <cols>
    <col min="1" max="1" width="23.1796875" bestFit="1" customWidth="1"/>
    <col min="2" max="2" width="26.1796875" bestFit="1" customWidth="1"/>
    <col min="3" max="3" width="14.08984375" bestFit="1" customWidth="1"/>
    <col min="4" max="4" width="15" bestFit="1" customWidth="1"/>
    <col min="5" max="5" width="10.453125" bestFit="1" customWidth="1"/>
    <col min="6" max="6" width="10.7265625" bestFit="1" customWidth="1"/>
  </cols>
  <sheetData>
    <row r="3" spans="1:2" x14ac:dyDescent="0.35">
      <c r="A3" s="4" t="s">
        <v>274</v>
      </c>
      <c r="B3" t="s">
        <v>277</v>
      </c>
    </row>
    <row r="4" spans="1:2" x14ac:dyDescent="0.35">
      <c r="A4" s="5" t="s">
        <v>13</v>
      </c>
      <c r="B4">
        <v>31</v>
      </c>
    </row>
    <row r="5" spans="1:2" x14ac:dyDescent="0.35">
      <c r="A5" s="5" t="s">
        <v>12</v>
      </c>
      <c r="B5">
        <v>19</v>
      </c>
    </row>
    <row r="6" spans="1:2" x14ac:dyDescent="0.35">
      <c r="A6" s="5" t="s">
        <v>14</v>
      </c>
      <c r="B6">
        <v>24</v>
      </c>
    </row>
    <row r="7" spans="1:2" x14ac:dyDescent="0.35">
      <c r="A7" s="5" t="s">
        <v>9</v>
      </c>
      <c r="B7">
        <v>22</v>
      </c>
    </row>
    <row r="8" spans="1:2" x14ac:dyDescent="0.35">
      <c r="A8" s="5" t="s">
        <v>10</v>
      </c>
      <c r="B8">
        <v>31</v>
      </c>
    </row>
    <row r="9" spans="1:2" x14ac:dyDescent="0.35">
      <c r="A9" s="5" t="s">
        <v>11</v>
      </c>
      <c r="B9">
        <v>20</v>
      </c>
    </row>
    <row r="10" spans="1:2" x14ac:dyDescent="0.35">
      <c r="A10" s="5" t="s">
        <v>16</v>
      </c>
      <c r="B10">
        <v>30</v>
      </c>
    </row>
    <row r="11" spans="1:2" x14ac:dyDescent="0.35">
      <c r="A11" s="5" t="s">
        <v>15</v>
      </c>
      <c r="B11">
        <v>23</v>
      </c>
    </row>
    <row r="12" spans="1:2" x14ac:dyDescent="0.35">
      <c r="A12" s="5" t="s">
        <v>275</v>
      </c>
      <c r="B12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0132-6A8D-485D-AC61-71AF3DDD3643}">
  <dimension ref="A3:B9"/>
  <sheetViews>
    <sheetView workbookViewId="0">
      <selection activeCell="B6" sqref="B6"/>
    </sheetView>
  </sheetViews>
  <sheetFormatPr defaultRowHeight="14.5" x14ac:dyDescent="0.35"/>
  <cols>
    <col min="1" max="1" width="22.90625" bestFit="1" customWidth="1"/>
    <col min="2" max="2" width="18.36328125" bestFit="1" customWidth="1"/>
  </cols>
  <sheetData>
    <row r="3" spans="1:2" x14ac:dyDescent="0.35">
      <c r="A3" s="4" t="s">
        <v>274</v>
      </c>
      <c r="B3" t="s">
        <v>278</v>
      </c>
    </row>
    <row r="4" spans="1:2" x14ac:dyDescent="0.35">
      <c r="A4" s="5" t="s">
        <v>218</v>
      </c>
      <c r="B4">
        <v>44</v>
      </c>
    </row>
    <row r="5" spans="1:2" x14ac:dyDescent="0.35">
      <c r="A5" s="5" t="s">
        <v>219</v>
      </c>
      <c r="B5">
        <v>32</v>
      </c>
    </row>
    <row r="6" spans="1:2" x14ac:dyDescent="0.35">
      <c r="A6" s="5" t="s">
        <v>220</v>
      </c>
      <c r="B6">
        <v>41</v>
      </c>
    </row>
    <row r="7" spans="1:2" x14ac:dyDescent="0.35">
      <c r="A7" s="5" t="s">
        <v>221</v>
      </c>
      <c r="B7">
        <v>34</v>
      </c>
    </row>
    <row r="8" spans="1:2" x14ac:dyDescent="0.35">
      <c r="A8" s="5" t="s">
        <v>217</v>
      </c>
      <c r="B8">
        <v>49</v>
      </c>
    </row>
    <row r="9" spans="1:2" x14ac:dyDescent="0.35">
      <c r="A9" s="5" t="s">
        <v>275</v>
      </c>
      <c r="B9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CE73-89C3-4A22-9CF8-AC16A5B294F3}">
  <dimension ref="A3:B9"/>
  <sheetViews>
    <sheetView workbookViewId="0">
      <selection activeCell="B6" sqref="B6"/>
    </sheetView>
  </sheetViews>
  <sheetFormatPr defaultRowHeight="14.5" x14ac:dyDescent="0.35"/>
  <cols>
    <col min="1" max="1" width="22.90625" bestFit="1" customWidth="1"/>
    <col min="2" max="2" width="26.1796875" bestFit="1" customWidth="1"/>
  </cols>
  <sheetData>
    <row r="3" spans="1:2" x14ac:dyDescent="0.35">
      <c r="A3" s="4" t="s">
        <v>274</v>
      </c>
      <c r="B3" t="s">
        <v>277</v>
      </c>
    </row>
    <row r="4" spans="1:2" x14ac:dyDescent="0.35">
      <c r="A4" s="5" t="s">
        <v>218</v>
      </c>
      <c r="B4">
        <v>44</v>
      </c>
    </row>
    <row r="5" spans="1:2" x14ac:dyDescent="0.35">
      <c r="A5" s="5" t="s">
        <v>219</v>
      </c>
      <c r="B5">
        <v>32</v>
      </c>
    </row>
    <row r="6" spans="1:2" x14ac:dyDescent="0.35">
      <c r="A6" s="5" t="s">
        <v>220</v>
      </c>
      <c r="B6">
        <v>41</v>
      </c>
    </row>
    <row r="7" spans="1:2" x14ac:dyDescent="0.35">
      <c r="A7" s="5" t="s">
        <v>221</v>
      </c>
      <c r="B7">
        <v>34</v>
      </c>
    </row>
    <row r="8" spans="1:2" x14ac:dyDescent="0.35">
      <c r="A8" s="5" t="s">
        <v>217</v>
      </c>
      <c r="B8">
        <v>49</v>
      </c>
    </row>
    <row r="9" spans="1:2" x14ac:dyDescent="0.35">
      <c r="A9" s="5" t="s">
        <v>275</v>
      </c>
      <c r="B9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6837-5B1E-42E4-8D3E-78FB9F8FC930}">
  <dimension ref="A3:B9"/>
  <sheetViews>
    <sheetView workbookViewId="0">
      <selection activeCell="B5" sqref="B5"/>
    </sheetView>
  </sheetViews>
  <sheetFormatPr defaultRowHeight="14.5" x14ac:dyDescent="0.35"/>
  <cols>
    <col min="1" max="1" width="13.54296875" bestFit="1" customWidth="1"/>
    <col min="2" max="2" width="27.54296875" bestFit="1" customWidth="1"/>
  </cols>
  <sheetData>
    <row r="3" spans="1:2" x14ac:dyDescent="0.35">
      <c r="A3" s="4" t="s">
        <v>274</v>
      </c>
      <c r="B3" t="s">
        <v>279</v>
      </c>
    </row>
    <row r="4" spans="1:2" x14ac:dyDescent="0.35">
      <c r="A4" s="5" t="s">
        <v>230</v>
      </c>
      <c r="B4">
        <v>31</v>
      </c>
    </row>
    <row r="5" spans="1:2" x14ac:dyDescent="0.35">
      <c r="A5" s="5" t="s">
        <v>231</v>
      </c>
      <c r="B5">
        <v>41</v>
      </c>
    </row>
    <row r="6" spans="1:2" x14ac:dyDescent="0.35">
      <c r="A6" s="5" t="s">
        <v>232</v>
      </c>
      <c r="B6">
        <v>48</v>
      </c>
    </row>
    <row r="7" spans="1:2" x14ac:dyDescent="0.35">
      <c r="A7" s="5" t="s">
        <v>233</v>
      </c>
      <c r="B7">
        <v>41</v>
      </c>
    </row>
    <row r="8" spans="1:2" x14ac:dyDescent="0.35">
      <c r="A8" s="5" t="s">
        <v>234</v>
      </c>
      <c r="B8">
        <v>39</v>
      </c>
    </row>
    <row r="9" spans="1:2" x14ac:dyDescent="0.35">
      <c r="A9" s="5" t="s">
        <v>275</v>
      </c>
      <c r="B9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/>
  </sheetViews>
  <sheetFormatPr defaultRowHeight="14.5" x14ac:dyDescent="0.35"/>
  <sheetData>
    <row r="1" spans="1:11" x14ac:dyDescent="0.35">
      <c r="A1" s="1" t="s">
        <v>239</v>
      </c>
      <c r="B1" s="1" t="s">
        <v>240</v>
      </c>
      <c r="D1" s="1" t="s">
        <v>271</v>
      </c>
      <c r="E1" s="1" t="s">
        <v>272</v>
      </c>
      <c r="G1" s="1" t="s">
        <v>1</v>
      </c>
      <c r="H1" s="1" t="s">
        <v>272</v>
      </c>
      <c r="J1" s="1" t="s">
        <v>4</v>
      </c>
      <c r="K1" s="1" t="s">
        <v>272</v>
      </c>
    </row>
    <row r="2" spans="1:11" x14ac:dyDescent="0.35">
      <c r="A2" t="s">
        <v>241</v>
      </c>
      <c r="B2">
        <v>7</v>
      </c>
      <c r="D2" t="s">
        <v>217</v>
      </c>
      <c r="E2">
        <v>49</v>
      </c>
      <c r="G2" t="s">
        <v>14</v>
      </c>
      <c r="H2">
        <v>37</v>
      </c>
      <c r="J2" t="s">
        <v>222</v>
      </c>
      <c r="K2">
        <v>99</v>
      </c>
    </row>
    <row r="3" spans="1:11" x14ac:dyDescent="0.35">
      <c r="A3" t="s">
        <v>242</v>
      </c>
      <c r="B3">
        <v>7</v>
      </c>
      <c r="D3" t="s">
        <v>218</v>
      </c>
      <c r="E3">
        <v>44</v>
      </c>
      <c r="G3" t="s">
        <v>9</v>
      </c>
      <c r="H3">
        <v>30</v>
      </c>
      <c r="J3" t="s">
        <v>224</v>
      </c>
      <c r="K3">
        <v>58</v>
      </c>
    </row>
    <row r="4" spans="1:11" x14ac:dyDescent="0.35">
      <c r="A4" t="s">
        <v>243</v>
      </c>
      <c r="B4">
        <v>7</v>
      </c>
      <c r="D4" t="s">
        <v>220</v>
      </c>
      <c r="E4">
        <v>41</v>
      </c>
      <c r="G4" t="s">
        <v>13</v>
      </c>
      <c r="H4">
        <v>30</v>
      </c>
      <c r="J4" t="s">
        <v>223</v>
      </c>
      <c r="K4">
        <v>33</v>
      </c>
    </row>
    <row r="5" spans="1:11" x14ac:dyDescent="0.35">
      <c r="A5" t="s">
        <v>244</v>
      </c>
      <c r="B5">
        <v>7</v>
      </c>
      <c r="D5" t="s">
        <v>221</v>
      </c>
      <c r="E5">
        <v>34</v>
      </c>
      <c r="G5" t="s">
        <v>16</v>
      </c>
      <c r="H5">
        <v>29</v>
      </c>
      <c r="J5" t="s">
        <v>225</v>
      </c>
      <c r="K5">
        <v>10</v>
      </c>
    </row>
    <row r="6" spans="1:11" x14ac:dyDescent="0.35">
      <c r="A6" t="s">
        <v>245</v>
      </c>
      <c r="B6">
        <v>7</v>
      </c>
      <c r="D6" t="s">
        <v>219</v>
      </c>
      <c r="E6">
        <v>32</v>
      </c>
      <c r="G6" t="s">
        <v>10</v>
      </c>
      <c r="H6">
        <v>27</v>
      </c>
    </row>
    <row r="7" spans="1:11" x14ac:dyDescent="0.35">
      <c r="A7" t="s">
        <v>246</v>
      </c>
      <c r="B7">
        <v>7</v>
      </c>
      <c r="G7" t="s">
        <v>12</v>
      </c>
      <c r="H7">
        <v>18</v>
      </c>
    </row>
    <row r="8" spans="1:11" x14ac:dyDescent="0.35">
      <c r="A8" t="s">
        <v>247</v>
      </c>
      <c r="B8">
        <v>7</v>
      </c>
      <c r="G8" t="s">
        <v>15</v>
      </c>
      <c r="H8">
        <v>16</v>
      </c>
    </row>
    <row r="9" spans="1:11" x14ac:dyDescent="0.35">
      <c r="A9" t="s">
        <v>248</v>
      </c>
      <c r="B9">
        <v>6</v>
      </c>
      <c r="G9" t="s">
        <v>11</v>
      </c>
      <c r="H9">
        <v>13</v>
      </c>
    </row>
    <row r="10" spans="1:11" x14ac:dyDescent="0.35">
      <c r="A10" t="s">
        <v>249</v>
      </c>
      <c r="B10">
        <v>7</v>
      </c>
    </row>
    <row r="11" spans="1:11" x14ac:dyDescent="0.35">
      <c r="A11" t="s">
        <v>250</v>
      </c>
      <c r="B11">
        <v>7</v>
      </c>
    </row>
    <row r="12" spans="1:11" x14ac:dyDescent="0.35">
      <c r="A12" t="s">
        <v>251</v>
      </c>
      <c r="B12">
        <v>7</v>
      </c>
    </row>
    <row r="13" spans="1:11" x14ac:dyDescent="0.35">
      <c r="A13" t="s">
        <v>252</v>
      </c>
      <c r="B13">
        <v>7</v>
      </c>
    </row>
    <row r="14" spans="1:11" x14ac:dyDescent="0.35">
      <c r="A14" t="s">
        <v>253</v>
      </c>
      <c r="B14">
        <v>7</v>
      </c>
    </row>
    <row r="15" spans="1:11" x14ac:dyDescent="0.35">
      <c r="A15" t="s">
        <v>254</v>
      </c>
      <c r="B15">
        <v>7</v>
      </c>
    </row>
    <row r="16" spans="1:11" x14ac:dyDescent="0.35">
      <c r="A16" t="s">
        <v>255</v>
      </c>
      <c r="B16">
        <v>6</v>
      </c>
    </row>
    <row r="17" spans="1:2" x14ac:dyDescent="0.35">
      <c r="A17" t="s">
        <v>256</v>
      </c>
      <c r="B17">
        <v>7</v>
      </c>
    </row>
    <row r="18" spans="1:2" x14ac:dyDescent="0.35">
      <c r="A18" t="s">
        <v>257</v>
      </c>
      <c r="B18">
        <v>7</v>
      </c>
    </row>
    <row r="19" spans="1:2" x14ac:dyDescent="0.35">
      <c r="A19" t="s">
        <v>258</v>
      </c>
      <c r="B19">
        <v>7</v>
      </c>
    </row>
    <row r="20" spans="1:2" x14ac:dyDescent="0.35">
      <c r="A20" t="s">
        <v>259</v>
      </c>
      <c r="B20">
        <v>7</v>
      </c>
    </row>
    <row r="21" spans="1:2" x14ac:dyDescent="0.35">
      <c r="A21" t="s">
        <v>260</v>
      </c>
      <c r="B21">
        <v>7</v>
      </c>
    </row>
    <row r="22" spans="1:2" x14ac:dyDescent="0.35">
      <c r="A22" t="s">
        <v>261</v>
      </c>
      <c r="B22">
        <v>7</v>
      </c>
    </row>
    <row r="23" spans="1:2" x14ac:dyDescent="0.35">
      <c r="A23" t="s">
        <v>262</v>
      </c>
      <c r="B23">
        <v>6</v>
      </c>
    </row>
    <row r="24" spans="1:2" x14ac:dyDescent="0.35">
      <c r="A24" t="s">
        <v>263</v>
      </c>
      <c r="B24">
        <v>7</v>
      </c>
    </row>
    <row r="25" spans="1:2" x14ac:dyDescent="0.35">
      <c r="A25" t="s">
        <v>264</v>
      </c>
      <c r="B25">
        <v>7</v>
      </c>
    </row>
    <row r="26" spans="1:2" x14ac:dyDescent="0.35">
      <c r="A26" t="s">
        <v>265</v>
      </c>
      <c r="B26">
        <v>7</v>
      </c>
    </row>
    <row r="27" spans="1:2" x14ac:dyDescent="0.35">
      <c r="A27" t="s">
        <v>266</v>
      </c>
      <c r="B27">
        <v>7</v>
      </c>
    </row>
    <row r="28" spans="1:2" x14ac:dyDescent="0.35">
      <c r="A28" t="s">
        <v>267</v>
      </c>
      <c r="B28">
        <v>7</v>
      </c>
    </row>
    <row r="29" spans="1:2" x14ac:dyDescent="0.35">
      <c r="A29" t="s">
        <v>268</v>
      </c>
      <c r="B29">
        <v>7</v>
      </c>
    </row>
    <row r="30" spans="1:2" x14ac:dyDescent="0.35">
      <c r="A30" t="s">
        <v>269</v>
      </c>
      <c r="B30">
        <v>6</v>
      </c>
    </row>
    <row r="31" spans="1:2" x14ac:dyDescent="0.35">
      <c r="A31" t="s">
        <v>270</v>
      </c>
      <c r="B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Dashboard</vt:lpstr>
      <vt:lpstr>Sheet1</vt:lpstr>
      <vt:lpstr>Sheet2</vt:lpstr>
      <vt:lpstr>Sheet3</vt:lpstr>
      <vt:lpstr>Sheet4</vt:lpstr>
      <vt:lpstr>Sheet5</vt:lpstr>
      <vt:lpstr>Sheet6</vt:lpstr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ANMOL SINGH</cp:lastModifiedBy>
  <dcterms:created xsi:type="dcterms:W3CDTF">2026-10-05T02:36:37Z</dcterms:created>
  <dcterms:modified xsi:type="dcterms:W3CDTF">2026-10-26T22:00:05Z</dcterms:modified>
</cp:coreProperties>
</file>